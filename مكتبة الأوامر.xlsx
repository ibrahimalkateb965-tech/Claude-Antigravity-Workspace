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6960" yWindow="-3885" windowWidth="28800" windowHeight="15285" tabRatio="600" firstSheet="24" activeTab="24" autoFilterDateGrouping="1"/>
  </bookViews>
  <sheets>
    <sheet xmlns:r="http://schemas.openxmlformats.org/officeDocument/2006/relationships" name="prompts" sheetId="1" state="visible" r:id="rId1"/>
    <sheet xmlns:r="http://schemas.openxmlformats.org/officeDocument/2006/relationships" name="visit visa" sheetId="2" state="visible" r:id="rId2"/>
    <sheet xmlns:r="http://schemas.openxmlformats.org/officeDocument/2006/relationships" name="Auto_vem_Win" sheetId="3" state="visible" r:id="rId3"/>
    <sheet xmlns:r="http://schemas.openxmlformats.org/officeDocument/2006/relationships" name="Kimi" sheetId="4" state="visible" r:id="rId4"/>
    <sheet xmlns:r="http://schemas.openxmlformats.org/officeDocument/2006/relationships" name="Kimi Planner" sheetId="5" state="visible" r:id="rId5"/>
    <sheet xmlns:r="http://schemas.openxmlformats.org/officeDocument/2006/relationships" name="Review Programing Prompt " sheetId="6" state="visible" r:id="rId6"/>
    <sheet xmlns:r="http://schemas.openxmlformats.org/officeDocument/2006/relationships" name="Review Arch Prompt" sheetId="7" state="visible" r:id="rId7"/>
    <sheet xmlns:r="http://schemas.openxmlformats.org/officeDocument/2006/relationships" name="Memory Import Hook" sheetId="8" state="visible" r:id="rId8"/>
    <sheet xmlns:r="http://schemas.openxmlformats.org/officeDocument/2006/relationships" name="حفظ الذاكرة المخصص" sheetId="9" state="visible" r:id="rId9"/>
    <sheet xmlns:r="http://schemas.openxmlformats.org/officeDocument/2006/relationships" name="best Plan " sheetId="10" state="visible" r:id="rId10"/>
    <sheet xmlns:r="http://schemas.openxmlformats.org/officeDocument/2006/relationships" name="تهيئة مشروع جديد" sheetId="11" state="visible" r:id="rId11"/>
    <sheet xmlns:r="http://schemas.openxmlformats.org/officeDocument/2006/relationships" name="Claude" sheetId="12" state="visible" r:id="rId12"/>
    <sheet xmlns:r="http://schemas.openxmlformats.org/officeDocument/2006/relationships" name="تحديث ملف الخطافات وتطبيق مكتبة" sheetId="13" state="visible" r:id="rId13"/>
    <sheet xmlns:r="http://schemas.openxmlformats.org/officeDocument/2006/relationships" name="م.ش الهندسة المعماريةالفيزيائية" sheetId="14" state="visible" r:id="rId14"/>
    <sheet xmlns:r="http://schemas.openxmlformats.org/officeDocument/2006/relationships" name="محامي الشيطان ادارة مشاريع" sheetId="15" state="visible" r:id="rId15"/>
    <sheet xmlns:r="http://schemas.openxmlformats.org/officeDocument/2006/relationships" name="Master prompt " sheetId="16" state="visible" r:id="rId16"/>
    <sheet xmlns:r="http://schemas.openxmlformats.org/officeDocument/2006/relationships" name="Notebook LM" sheetId="17" state="visible" r:id="rId17"/>
    <sheet xmlns:r="http://schemas.openxmlformats.org/officeDocument/2006/relationships" name="tools" sheetId="18" state="visible" r:id="rId18"/>
    <sheet xmlns:r="http://schemas.openxmlformats.org/officeDocument/2006/relationships" name="contenent creator" sheetId="19" state="visible" r:id="rId19"/>
    <sheet xmlns:r="http://schemas.openxmlformats.org/officeDocument/2006/relationships" name="Sheet2" sheetId="20" state="visible" r:id="rId20"/>
    <sheet xmlns:r="http://schemas.openxmlformats.org/officeDocument/2006/relationships" name="تحسين البرومبت" sheetId="21" state="visible" r:id="rId21"/>
    <sheet xmlns:r="http://schemas.openxmlformats.org/officeDocument/2006/relationships" name="prompts.00" sheetId="22" state="visible" r:id="rId22"/>
    <sheet xmlns:r="http://schemas.openxmlformats.org/officeDocument/2006/relationships" name="سديد (Sadeed)" sheetId="23" state="visible" r:id="rId23"/>
    <sheet xmlns:r="http://schemas.openxmlformats.org/officeDocument/2006/relationships" name="Flow video" sheetId="24" state="visible" r:id="rId24"/>
    <sheet xmlns:r="http://schemas.openxmlformats.org/officeDocument/2006/relationships" name="CLI_Core.Claude" sheetId="25" state="visible" r:id="rId25"/>
    <sheet xmlns:r="http://schemas.openxmlformats.org/officeDocument/2006/relationships" name="Workflows_Pipelines.Claude" sheetId="26" state="visible" r:id="rId26"/>
    <sheet xmlns:r="http://schemas.openxmlformats.org/officeDocument/2006/relationships" name="Gates_Hooks.Claude" sheetId="27" state="visible" r:id="rId27"/>
    <sheet xmlns:r="http://schemas.openxmlformats.org/officeDocument/2006/relationships" name="Custom_Skills.Claude" sheetId="28" state="visible" r:id="rId28"/>
    <sheet xmlns:r="http://schemas.openxmlformats.org/officeDocument/2006/relationships" name="Config_Environments.Claude" sheetId="29" state="visible" r:id="rId29"/>
    <sheet xmlns:r="http://schemas.openxmlformats.org/officeDocument/2006/relationships" name="Construction_MCP_Suite" sheetId="30" state="visible" r:id="rId30"/>
    <sheet xmlns:r="http://schemas.openxmlformats.org/officeDocument/2006/relationships" name="Gates_Hooks.Antigravity" sheetId="31" state="visible" r:id="rId31"/>
    <sheet xmlns:r="http://schemas.openxmlformats.org/officeDocument/2006/relationships" name="CLI_Core.Antigravity" sheetId="32" state="visible" r:id="rId32"/>
    <sheet xmlns:r="http://schemas.openxmlformats.org/officeDocument/2006/relationships" name="Workflows_Pipelines.Antigravity" sheetId="33" state="visible" r:id="rId33"/>
  </sheets>
  <definedNames/>
  <calcPr calcId="191029" fullCalcOnLoad="1"/>
</workbook>
</file>

<file path=xl/styles.xml><?xml version="1.0" encoding="utf-8"?>
<styleSheet xmlns="http://schemas.openxmlformats.org/spreadsheetml/2006/main">
  <numFmts count="0"/>
  <fonts count="34">
    <font>
      <name val="Calibri"/>
      <family val="2"/>
      <color theme="1"/>
      <sz val="11"/>
      <scheme val="minor"/>
    </font>
    <font>
      <name val="Calibri"/>
      <family val="2"/>
      <b val="1"/>
      <color theme="1"/>
      <sz val="14"/>
      <scheme val="minor"/>
    </font>
    <font>
      <name val="Calibri"/>
      <family val="2"/>
      <color theme="1"/>
      <sz val="16"/>
      <scheme val="minor"/>
    </font>
    <font>
      <name val="Segoe UI"/>
      <family val="2"/>
      <b val="1"/>
      <color rgb="FFFF0000"/>
      <sz val="18"/>
    </font>
    <font>
      <name val="Segoe UI"/>
      <b val="1"/>
      <color rgb="FFFFFFFF"/>
      <sz val="11"/>
    </font>
    <font>
      <name val="Segoe UI"/>
      <sz val="10"/>
    </font>
    <font>
      <name val="Segoe UI"/>
      <b val="1"/>
      <sz val="10"/>
    </font>
    <font>
      <name val="Consolas"/>
      <b val="1"/>
      <color rgb="FF0F172A"/>
      <sz val="10"/>
    </font>
    <font>
      <name val="Consolas"/>
      <b val="1"/>
      <color rgb="FF0F172A"/>
      <sz val="10"/>
    </font>
    <font>
      <name val="Traditional Arabic"/>
      <b val="1"/>
      <color rgb="FFFFFFFF"/>
      <sz val="13"/>
    </font>
    <font>
      <name val="Traditional Arabic"/>
      <b val="1"/>
      <sz val="11"/>
    </font>
    <font>
      <name val="Traditional Arabic"/>
      <sz val="11"/>
    </font>
    <font>
      <name val="Consolas"/>
      <b val="1"/>
      <color rgb="FF1F497D"/>
      <sz val="10"/>
    </font>
    <font>
      <name val="Segoe UI"/>
      <color rgb="FF000000"/>
      <sz val="10"/>
    </font>
    <font>
      <name val="Segoe UI"/>
      <b val="1"/>
      <color rgb="FF000000"/>
      <sz val="10"/>
    </font>
    <font>
      <name val="Consolas"/>
      <b val="1"/>
      <color rgb="FF000000"/>
      <sz val="10"/>
    </font>
    <font>
      <name val="Segoe UI"/>
      <color rgb="FF000000"/>
      <sz val="10"/>
    </font>
    <font>
      <name val="Segoe UI"/>
      <b val="1"/>
      <color rgb="FF000000"/>
      <sz val="10"/>
    </font>
    <font>
      <name val="Consolas"/>
      <b val="1"/>
      <color rgb="FF000000"/>
      <sz val="10"/>
    </font>
    <font>
      <name val="Segoe UI"/>
      <color rgb="FF000000"/>
      <sz val="10"/>
    </font>
    <font>
      <name val="Segoe UI"/>
      <b val="1"/>
      <color rgb="FF000000"/>
      <sz val="10"/>
    </font>
    <font>
      <name val="Consolas"/>
      <b val="1"/>
      <color rgb="FF000000"/>
      <sz val="10"/>
    </font>
    <font>
      <name val="Segoe UI"/>
      <color rgb="FF000000"/>
      <sz val="10"/>
    </font>
    <font>
      <name val="Segoe UI"/>
      <b val="1"/>
      <color rgb="FF000000"/>
      <sz val="10"/>
    </font>
    <font>
      <name val="Consolas"/>
      <b val="1"/>
      <color rgb="FF000000"/>
      <sz val="10"/>
    </font>
    <font>
      <name val="Segoe UI"/>
      <color rgb="00000000"/>
      <sz val="10"/>
    </font>
    <font>
      <name val="Segoe UI"/>
      <b val="1"/>
      <color rgb="00000000"/>
      <sz val="10"/>
    </font>
    <font>
      <name val="Consolas"/>
      <b val="1"/>
      <color rgb="00000000"/>
      <sz val="10"/>
    </font>
    <font>
      <name val="Consolas"/>
      <b val="1"/>
      <color rgb="00002060"/>
      <sz val="10"/>
    </font>
    <font>
      <name val="Segoe UI"/>
      <b val="1"/>
      <sz val="11"/>
    </font>
    <font>
      <name val="Segoe UI"/>
      <b val="1"/>
      <color rgb="000F172A"/>
      <sz val="11"/>
    </font>
    <font>
      <name val="Consolas"/>
      <color rgb="001E293B"/>
      <sz val="10"/>
    </font>
    <font>
      <name val="Segoe UI"/>
      <color rgb="00475569"/>
      <sz val="10"/>
    </font>
    <font>
      <name val="Consolas"/>
      <sz val="10"/>
    </font>
  </fonts>
  <fills count="8">
    <fill>
      <patternFill/>
    </fill>
    <fill>
      <patternFill patternType="gray125"/>
    </fill>
    <fill>
      <patternFill patternType="solid">
        <fgColor theme="7" tint="0.5999938962981048"/>
        <bgColor indexed="64"/>
      </patternFill>
    </fill>
    <fill>
      <patternFill patternType="solid">
        <fgColor theme="9" tint="0.5999938962981048"/>
        <bgColor indexed="64"/>
      </patternFill>
    </fill>
    <fill>
      <patternFill patternType="solid">
        <fgColor theme="0"/>
        <bgColor indexed="64"/>
      </patternFill>
    </fill>
    <fill>
      <patternFill patternType="solid">
        <fgColor rgb="FF1E293B"/>
        <bgColor rgb="FF1E293B"/>
      </patternFill>
    </fill>
    <fill>
      <patternFill patternType="solid">
        <fgColor rgb="FF1F497D"/>
        <bgColor rgb="FF1F497D"/>
      </patternFill>
    </fill>
    <fill>
      <patternFill patternType="solid">
        <fgColor rgb="FFF2F5F8"/>
        <bgColor rgb="FFF2F5F8"/>
      </patternFill>
    </fill>
  </fills>
  <borders count="2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
  </borders>
  <cellStyleXfs count="1">
    <xf numFmtId="0" fontId="0" fillId="0" borderId="0"/>
  </cellStyleXfs>
  <cellXfs count="84">
    <xf numFmtId="0" fontId="0" fillId="0" borderId="0" pivotButton="0" quotePrefix="0" xfId="0"/>
    <xf numFmtId="0" fontId="1" fillId="0" borderId="0" applyAlignment="1" pivotButton="0" quotePrefix="0" xfId="0">
      <alignment horizontal="center" vertical="center"/>
    </xf>
    <xf numFmtId="0" fontId="1" fillId="0" borderId="1" applyAlignment="1" pivotButton="0" quotePrefix="0" xfId="0">
      <alignment horizontal="center" vertical="center"/>
    </xf>
    <xf numFmtId="0" fontId="1" fillId="2" borderId="1" applyAlignment="1" pivotButton="0" quotePrefix="0" xfId="0">
      <alignment horizontal="center" vertical="center"/>
    </xf>
    <xf numFmtId="0" fontId="2" fillId="4" borderId="1" applyAlignment="1" pivotButton="0" quotePrefix="0" xfId="0">
      <alignment horizontal="center" vertical="center"/>
    </xf>
    <xf numFmtId="0" fontId="0" fillId="4" borderId="0" pivotButton="0" quotePrefix="0" xfId="0"/>
    <xf numFmtId="0" fontId="2" fillId="0" borderId="0" pivotButton="0" quotePrefix="0" xfId="0"/>
    <xf numFmtId="0" fontId="1" fillId="0" borderId="0" applyAlignment="1" pivotButton="0" quotePrefix="0" xfId="0">
      <alignment wrapText="1"/>
    </xf>
    <xf numFmtId="0" fontId="2" fillId="0" borderId="1" applyAlignment="1" pivotButton="0" quotePrefix="0" xfId="0">
      <alignment horizontal="center" vertical="center" wrapText="1"/>
    </xf>
    <xf numFmtId="0" fontId="3" fillId="0" borderId="0" applyAlignment="1" pivotButton="0" quotePrefix="0" xfId="0">
      <alignment wrapText="1"/>
    </xf>
    <xf numFmtId="0" fontId="4" fillId="5" borderId="13" applyAlignment="1" pivotButton="0" quotePrefix="0" xfId="0">
      <alignment horizontal="center" vertical="center" wrapText="1"/>
    </xf>
    <xf numFmtId="0" fontId="5" fillId="0" borderId="13" applyAlignment="1" pivotButton="0" quotePrefix="0" xfId="0">
      <alignment horizontal="center" vertical="center"/>
    </xf>
    <xf numFmtId="0" fontId="6" fillId="0" borderId="13" applyAlignment="1" pivotButton="0" quotePrefix="0" xfId="0">
      <alignment horizontal="right" vertical="center"/>
    </xf>
    <xf numFmtId="0" fontId="7" fillId="0" borderId="13" applyAlignment="1" pivotButton="0" quotePrefix="0" xfId="0">
      <alignment horizontal="left" vertical="center"/>
    </xf>
    <xf numFmtId="0" fontId="5" fillId="0" borderId="13" applyAlignment="1" pivotButton="0" quotePrefix="0" xfId="0">
      <alignment horizontal="right" vertical="center" wrapText="1"/>
    </xf>
    <xf numFmtId="0" fontId="5" fillId="0" borderId="14" applyAlignment="1" pivotButton="0" quotePrefix="0" xfId="0">
      <alignment horizontal="center" vertical="center"/>
    </xf>
    <xf numFmtId="0" fontId="6" fillId="0" borderId="14" applyAlignment="1" pivotButton="0" quotePrefix="0" xfId="0">
      <alignment horizontal="right" vertical="center"/>
    </xf>
    <xf numFmtId="0" fontId="8" fillId="0" borderId="14" applyAlignment="1" pivotButton="0" quotePrefix="0" xfId="0">
      <alignment horizontal="left" vertical="center" wrapText="1"/>
    </xf>
    <xf numFmtId="0" fontId="5" fillId="0" borderId="14" applyAlignment="1" pivotButton="0" quotePrefix="0" xfId="0">
      <alignment horizontal="right" vertical="center" wrapText="1"/>
    </xf>
    <xf numFmtId="0" fontId="9" fillId="6" borderId="15" applyAlignment="1" pivotButton="0" quotePrefix="0" xfId="0">
      <alignment horizontal="center" vertical="center" wrapText="1"/>
    </xf>
    <xf numFmtId="0" fontId="10" fillId="7" borderId="15" applyAlignment="1" pivotButton="0" quotePrefix="0" xfId="0">
      <alignment horizontal="center" vertical="center" wrapText="1"/>
    </xf>
    <xf numFmtId="0" fontId="10" fillId="7" borderId="15" applyAlignment="1" pivotButton="0" quotePrefix="0" xfId="0">
      <alignment horizontal="right" vertical="center" wrapText="1"/>
    </xf>
    <xf numFmtId="0" fontId="11" fillId="7" borderId="15" applyAlignment="1" pivotButton="0" quotePrefix="0" xfId="0">
      <alignment horizontal="right" vertical="center" wrapText="1"/>
    </xf>
    <xf numFmtId="0" fontId="10" fillId="0" borderId="15" applyAlignment="1" pivotButton="0" quotePrefix="0" xfId="0">
      <alignment horizontal="center" vertical="center" wrapText="1"/>
    </xf>
    <xf numFmtId="0" fontId="10" fillId="0" borderId="15" applyAlignment="1" pivotButton="0" quotePrefix="0" xfId="0">
      <alignment horizontal="right" vertical="center" wrapText="1"/>
    </xf>
    <xf numFmtId="0" fontId="11" fillId="0" borderId="15" applyAlignment="1" pivotButton="0" quotePrefix="0" xfId="0">
      <alignment horizontal="right" vertical="center" wrapText="1"/>
    </xf>
    <xf numFmtId="0" fontId="12" fillId="7" borderId="15" applyAlignment="1" pivotButton="0" quotePrefix="0" xfId="0">
      <alignment horizontal="left" vertical="center" wrapText="1"/>
    </xf>
    <xf numFmtId="0" fontId="12" fillId="0" borderId="15" applyAlignment="1" pivotButton="0" quotePrefix="0" xfId="0">
      <alignment horizontal="left" vertical="center" wrapText="1"/>
    </xf>
    <xf numFmtId="0" fontId="6" fillId="0" borderId="13" applyAlignment="1" pivotButton="0" quotePrefix="0" xfId="0">
      <alignment horizontal="right" vertical="center" wrapText="1"/>
    </xf>
    <xf numFmtId="0" fontId="0" fillId="0" borderId="0" applyAlignment="1" pivotButton="0" quotePrefix="0" xfId="0">
      <alignment wrapText="1"/>
    </xf>
    <xf numFmtId="0" fontId="7" fillId="0" borderId="13" applyAlignment="1" pivotButton="0" quotePrefix="0" xfId="0">
      <alignment horizontal="left" vertical="center" wrapText="1"/>
    </xf>
    <xf numFmtId="0" fontId="5" fillId="0" borderId="13" applyAlignment="1" pivotButton="0" quotePrefix="0" xfId="0">
      <alignment horizontal="center" vertical="center" wrapText="1"/>
    </xf>
    <xf numFmtId="0" fontId="13" fillId="0" borderId="16" applyAlignment="1" pivotButton="0" quotePrefix="0" xfId="0">
      <alignment horizontal="center" vertical="center" wrapText="1"/>
    </xf>
    <xf numFmtId="0" fontId="14" fillId="0" borderId="16" applyAlignment="1" pivotButton="0" quotePrefix="0" xfId="0">
      <alignment horizontal="right" vertical="center" wrapText="1"/>
    </xf>
    <xf numFmtId="0" fontId="15" fillId="0" borderId="16" applyAlignment="1" pivotButton="0" quotePrefix="0" xfId="0">
      <alignment horizontal="left" vertical="center" wrapText="1"/>
    </xf>
    <xf numFmtId="0" fontId="13" fillId="0" borderId="16" applyAlignment="1" pivotButton="0" quotePrefix="0" xfId="0">
      <alignment horizontal="right" vertical="center" wrapText="1"/>
    </xf>
    <xf numFmtId="0" fontId="16" fillId="0" borderId="17" applyAlignment="1" pivotButton="0" quotePrefix="0" xfId="0">
      <alignment horizontal="center" vertical="center" wrapText="1"/>
    </xf>
    <xf numFmtId="0" fontId="17" fillId="0" borderId="17" applyAlignment="1" pivotButton="0" quotePrefix="0" xfId="0">
      <alignment horizontal="right" vertical="center" wrapText="1"/>
    </xf>
    <xf numFmtId="0" fontId="18" fillId="0" borderId="17" applyAlignment="1" pivotButton="0" quotePrefix="0" xfId="0">
      <alignment horizontal="left" vertical="center" wrapText="1"/>
    </xf>
    <xf numFmtId="0" fontId="16" fillId="0" borderId="17" applyAlignment="1" pivotButton="0" quotePrefix="0" xfId="0">
      <alignment horizontal="right" vertical="center" wrapText="1"/>
    </xf>
    <xf numFmtId="0" fontId="19" fillId="0" borderId="18" applyAlignment="1" pivotButton="0" quotePrefix="0" xfId="0">
      <alignment horizontal="center" vertical="center" wrapText="1"/>
    </xf>
    <xf numFmtId="0" fontId="20" fillId="0" borderId="18" applyAlignment="1" pivotButton="0" quotePrefix="0" xfId="0">
      <alignment horizontal="right" vertical="center" wrapText="1"/>
    </xf>
    <xf numFmtId="0" fontId="21" fillId="0" borderId="18" applyAlignment="1" pivotButton="0" quotePrefix="0" xfId="0">
      <alignment horizontal="left" vertical="center" wrapText="1"/>
    </xf>
    <xf numFmtId="0" fontId="19" fillId="0" borderId="18" applyAlignment="1" pivotButton="0" quotePrefix="0" xfId="0">
      <alignment horizontal="right" vertical="center" wrapText="1"/>
    </xf>
    <xf numFmtId="0" fontId="22" fillId="0" borderId="19" applyAlignment="1" pivotButton="0" quotePrefix="0" xfId="0">
      <alignment horizontal="center" vertical="center" wrapText="1"/>
    </xf>
    <xf numFmtId="0" fontId="23" fillId="0" borderId="19" applyAlignment="1" pivotButton="0" quotePrefix="0" xfId="0">
      <alignment horizontal="right" vertical="center" wrapText="1"/>
    </xf>
    <xf numFmtId="0" fontId="24" fillId="0" borderId="19" applyAlignment="1" pivotButton="0" quotePrefix="0" xfId="0">
      <alignment horizontal="left" vertical="center" wrapText="1"/>
    </xf>
    <xf numFmtId="0" fontId="22" fillId="0" borderId="19" applyAlignment="1" pivotButton="0" quotePrefix="0" xfId="0">
      <alignment horizontal="right" vertical="center" wrapText="1"/>
    </xf>
    <xf numFmtId="0" fontId="2" fillId="3" borderId="1" applyAlignment="1" pivotButton="0" quotePrefix="0" xfId="0">
      <alignment horizontal="center" vertical="center" wrapText="1"/>
    </xf>
    <xf numFmtId="0" fontId="0" fillId="0" borderId="5" pivotButton="0" quotePrefix="0" xfId="0"/>
    <xf numFmtId="0" fontId="0" fillId="0" borderId="6" pivotButton="0" quotePrefix="0" xfId="0"/>
    <xf numFmtId="0" fontId="1" fillId="3" borderId="1" applyAlignment="1" pivotButton="0" quotePrefix="0" xfId="0">
      <alignment horizontal="left" vertical="top" wrapText="1"/>
    </xf>
    <xf numFmtId="0" fontId="0" fillId="0" borderId="7" pivotButton="0" quotePrefix="0" xfId="0"/>
    <xf numFmtId="0" fontId="0" fillId="0" borderId="8" pivotButton="0" quotePrefix="0" xfId="0"/>
    <xf numFmtId="0" fontId="0" fillId="0" borderId="4" pivotButton="0" quotePrefix="0" xfId="0"/>
    <xf numFmtId="0" fontId="0" fillId="0" borderId="0"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 fillId="2" borderId="1" applyAlignment="1" pivotButton="0" quotePrefix="0" xfId="0">
      <alignment horizontal="center" vertical="center"/>
    </xf>
    <xf numFmtId="0" fontId="0" fillId="0" borderId="2" pivotButton="0" quotePrefix="0" xfId="0"/>
    <xf numFmtId="0" fontId="0" fillId="0" borderId="3" pivotButton="0" quotePrefix="0" xfId="0"/>
    <xf numFmtId="0" fontId="2" fillId="0" borderId="1" applyAlignment="1" pivotButton="0" quotePrefix="0" xfId="0">
      <alignment horizontal="center" vertical="center" wrapText="1"/>
    </xf>
    <xf numFmtId="0" fontId="1" fillId="0" borderId="1" applyAlignment="1" pivotButton="0" quotePrefix="0" xfId="0">
      <alignment horizontal="left" vertical="top" wrapText="1"/>
    </xf>
    <xf numFmtId="0" fontId="2" fillId="4" borderId="1" applyAlignment="1" pivotButton="0" quotePrefix="0" xfId="0">
      <alignment horizontal="center" vertical="center"/>
    </xf>
    <xf numFmtId="0" fontId="2" fillId="0" borderId="7" applyAlignment="1" pivotButton="0" quotePrefix="0" xfId="0">
      <alignment horizontal="center" vertical="center" wrapText="1"/>
    </xf>
    <xf numFmtId="0" fontId="25" fillId="0" borderId="20" applyAlignment="1" pivotButton="0" quotePrefix="0" xfId="0">
      <alignment horizontal="center" vertical="center" wrapText="1"/>
    </xf>
    <xf numFmtId="0" fontId="26" fillId="0" borderId="20" applyAlignment="1" pivotButton="0" quotePrefix="0" xfId="0">
      <alignment horizontal="right" vertical="center" wrapText="1"/>
    </xf>
    <xf numFmtId="0" fontId="27" fillId="0" borderId="20" applyAlignment="1" pivotButton="0" quotePrefix="0" xfId="0">
      <alignment horizontal="left" vertical="center" wrapText="1"/>
    </xf>
    <xf numFmtId="0" fontId="25" fillId="0" borderId="20" applyAlignment="1" pivotButton="0" quotePrefix="0" xfId="0">
      <alignment horizontal="right" vertical="center" wrapText="1"/>
    </xf>
    <xf numFmtId="0" fontId="4" fillId="5" borderId="20" applyAlignment="1" pivotButton="0" quotePrefix="0" xfId="0">
      <alignment horizontal="center" vertical="center" wrapText="1"/>
    </xf>
    <xf numFmtId="0" fontId="6" fillId="0" borderId="21" applyAlignment="1" pivotButton="0" quotePrefix="0" xfId="0">
      <alignment horizontal="center" vertical="center"/>
    </xf>
    <xf numFmtId="0" fontId="5" fillId="0" borderId="21" applyAlignment="1" pivotButton="0" quotePrefix="0" xfId="0">
      <alignment horizontal="right" vertical="center" wrapText="1"/>
    </xf>
    <xf numFmtId="0" fontId="28" fillId="0" borderId="21" applyAlignment="1" pivotButton="0" quotePrefix="0" xfId="0">
      <alignment horizontal="left" vertical="center" wrapText="1"/>
    </xf>
    <xf numFmtId="0" fontId="29" fillId="0" borderId="22" applyAlignment="1" pivotButton="0" quotePrefix="0" xfId="0">
      <alignment horizontal="center" vertical="top"/>
    </xf>
    <xf numFmtId="0" fontId="30" fillId="0" borderId="22" applyAlignment="1" pivotButton="0" quotePrefix="0" xfId="0">
      <alignment horizontal="right" vertical="top" wrapText="1"/>
    </xf>
    <xf numFmtId="0" fontId="31" fillId="0" borderId="22" applyAlignment="1" pivotButton="0" quotePrefix="0" xfId="0">
      <alignment horizontal="left" vertical="top" wrapText="1"/>
    </xf>
    <xf numFmtId="0" fontId="32" fillId="0" borderId="22" applyAlignment="1" pivotButton="0" quotePrefix="0" xfId="0">
      <alignment horizontal="right" vertical="top" wrapText="1"/>
    </xf>
    <xf numFmtId="0" fontId="29" fillId="0" borderId="21" applyAlignment="1" pivotButton="0" quotePrefix="0" xfId="0">
      <alignment horizontal="center" vertical="center"/>
    </xf>
    <xf numFmtId="0" fontId="29" fillId="0" borderId="21" applyAlignment="1" pivotButton="0" quotePrefix="0" xfId="0">
      <alignment horizontal="right" vertical="top" wrapText="1"/>
    </xf>
    <xf numFmtId="0" fontId="33" fillId="0" borderId="21" applyAlignment="1" pivotButton="0" quotePrefix="0" xfId="0">
      <alignment horizontal="left" vertical="top" wrapText="1"/>
    </xf>
    <xf numFmtId="0" fontId="5" fillId="0" borderId="21" applyAlignment="1" pivotButton="0" quotePrefix="0" xfId="0">
      <alignment horizontal="right" vertical="top" wrapText="1"/>
    </xf>
    <xf numFmtId="0" fontId="0" fillId="0" borderId="2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N200"/>
  <sheetViews>
    <sheetView zoomScale="70" zoomScaleNormal="70" workbookViewId="0">
      <selection activeCell="A1" sqref="A1"/>
    </sheetView>
  </sheetViews>
  <sheetFormatPr baseColWidth="8" defaultRowHeight="14.4"/>
  <cols>
    <col width="4.33203125" bestFit="1" customWidth="1" style="55" min="1" max="1"/>
    <col width="25.77734375" customWidth="1" style="55" min="2" max="2"/>
    <col width="64.44140625" bestFit="1" customWidth="1" style="55" min="3" max="3"/>
    <col width="42.88671875" customWidth="1" style="55" min="11" max="11"/>
    <col width="35" customWidth="1" style="55" min="14" max="14"/>
  </cols>
  <sheetData>
    <row r="1" ht="40.2" customFormat="1" customHeight="1" s="1">
      <c r="A1" s="2" t="n"/>
      <c r="B1" s="60" t="inlineStr">
        <is>
          <t>Name</t>
        </is>
      </c>
      <c r="C1" s="60" t="inlineStr">
        <is>
          <t>Prompt</t>
        </is>
      </c>
      <c r="D1" s="61" t="n"/>
      <c r="E1" s="61" t="n"/>
      <c r="F1" s="61" t="n"/>
      <c r="G1" s="61" t="n"/>
      <c r="H1" s="61" t="n"/>
      <c r="I1" s="61" t="n"/>
      <c r="J1" s="61" t="n"/>
      <c r="K1" s="62" t="n"/>
      <c r="L1" s="60" t="inlineStr">
        <is>
          <t>Notes</t>
        </is>
      </c>
      <c r="M1" s="61" t="n"/>
      <c r="N1" s="62" t="n"/>
    </row>
    <row r="2">
      <c r="A2" s="63" t="n">
        <v>1</v>
      </c>
      <c r="B2" s="63" t="inlineStr">
        <is>
          <t>clear and inspiring 
mission and vision
for your business.</t>
        </is>
      </c>
      <c r="C2" s="64" t="inlineStr">
        <is>
          <t>Act as a seasoned serial entrepreneur with extensive experience in establishing successful ventures. Define the mission and vision for a small business in [industry]. The mission should clearly state the business’s purpose, what it seeks to achieve, and how it aims to serve its customers.
The vision should depict the long-term goals and aspirations, showing where the business sees itself in the future. Both statements should be concise, memorable, and inspire employee and customer confidence. They should reflect the unique identity and values of the business, setting it apart from competitors. Ensure that the statements are adaptable, considering potential pivots or market changes.
Please provide a list of questions I need to answer so you have enough context before answering.</t>
        </is>
      </c>
      <c r="D2" s="52" t="n"/>
      <c r="E2" s="52" t="n"/>
      <c r="F2" s="52" t="n"/>
      <c r="G2" s="52" t="n"/>
      <c r="H2" s="52" t="n"/>
      <c r="I2" s="52" t="n"/>
      <c r="J2" s="52" t="n"/>
      <c r="K2" s="53" t="n"/>
      <c r="L2" s="64" t="inlineStr">
        <is>
          <t>This helps create a strong brand
 foundation and guide your
 business decisions.</t>
        </is>
      </c>
      <c r="M2" s="52" t="n"/>
      <c r="N2" s="53" t="n"/>
    </row>
    <row r="3">
      <c r="A3" s="49" t="n"/>
      <c r="B3" s="49" t="n"/>
      <c r="C3" s="54" t="n"/>
      <c r="K3" s="56" t="n"/>
      <c r="L3" s="54" t="n"/>
      <c r="N3" s="56" t="n"/>
    </row>
    <row r="4">
      <c r="A4" s="49" t="n"/>
      <c r="B4" s="49" t="n"/>
      <c r="C4" s="54" t="n"/>
      <c r="K4" s="56" t="n"/>
      <c r="L4" s="54" t="n"/>
      <c r="N4" s="56" t="n"/>
    </row>
    <row r="5" ht="151.8" customHeight="1" s="55">
      <c r="A5" s="50" t="n"/>
      <c r="B5" s="50" t="n"/>
      <c r="C5" s="57" t="n"/>
      <c r="D5" s="58" t="n"/>
      <c r="E5" s="58" t="n"/>
      <c r="F5" s="58" t="n"/>
      <c r="G5" s="58" t="n"/>
      <c r="H5" s="58" t="n"/>
      <c r="I5" s="58" t="n"/>
      <c r="J5" s="58" t="n"/>
      <c r="K5" s="59" t="n"/>
      <c r="L5" s="57" t="n"/>
      <c r="M5" s="58" t="n"/>
      <c r="N5" s="59" t="n"/>
    </row>
    <row r="6">
      <c r="A6" s="48" t="n">
        <v>2</v>
      </c>
      <c r="B6" s="48" t="inlineStr">
        <is>
          <t>To Come Up With Content Idea</t>
        </is>
      </c>
      <c r="C6" s="51" t="inlineStr">
        <is>
          <t>Act as a Content Marketing Expert. Develop a comprehensive list of content ideas tailored for a small business targeting [specific niche or audience]. Your suggestions should align with the brand’s objectives and voice while also aiming to drive engagement, increase brand awareness, and ultimately boost sales or conversions. Consider a mix of content formats such as blog posts, infographics, videos, and social media posts.
Ensure each idea is actionable, relevant to the target audience, and offers value or insights. Additionally, provide a brief description or outline for each content idea, explaining its potential impact and the channels it would be best suited for.
Please provide a list of questions I need to answer so you have enough context before answering.</t>
        </is>
      </c>
      <c r="D6" s="52" t="n"/>
      <c r="E6" s="52" t="n"/>
      <c r="F6" s="52" t="n"/>
      <c r="G6" s="52" t="n"/>
      <c r="H6" s="52" t="n"/>
      <c r="I6" s="52" t="n"/>
      <c r="J6" s="52" t="n"/>
      <c r="K6" s="53" t="n"/>
      <c r="L6" s="51" t="inlineStr">
        <is>
          <t>new content ideas for your business’ socials, marketing content, or website copy is a constant challenge.</t>
        </is>
      </c>
      <c r="M6" s="52" t="n"/>
      <c r="N6" s="53" t="n"/>
    </row>
    <row r="7">
      <c r="A7" s="49" t="n"/>
      <c r="B7" s="49" t="n"/>
      <c r="C7" s="54" t="n"/>
      <c r="K7" s="56" t="n"/>
      <c r="L7" s="54" t="n"/>
      <c r="N7" s="56" t="n"/>
    </row>
    <row r="8">
      <c r="A8" s="49" t="n"/>
      <c r="B8" s="49" t="n"/>
      <c r="C8" s="54" t="n"/>
      <c r="K8" s="56" t="n"/>
      <c r="L8" s="54" t="n"/>
      <c r="N8" s="56" t="n"/>
    </row>
    <row r="9" ht="141" customHeight="1" s="55">
      <c r="A9" s="50" t="n"/>
      <c r="B9" s="50" t="n"/>
      <c r="C9" s="57" t="n"/>
      <c r="D9" s="58" t="n"/>
      <c r="E9" s="58" t="n"/>
      <c r="F9" s="58" t="n"/>
      <c r="G9" s="58" t="n"/>
      <c r="H9" s="58" t="n"/>
      <c r="I9" s="58" t="n"/>
      <c r="J9" s="58" t="n"/>
      <c r="K9" s="59" t="n"/>
      <c r="L9" s="57" t="n"/>
      <c r="M9" s="58" t="n"/>
      <c r="N9" s="59" t="n"/>
    </row>
    <row r="10" ht="14.4" customHeight="1" s="55">
      <c r="A10" s="63" t="n">
        <v>3</v>
      </c>
      <c r="B10" s="63" t="inlineStr">
        <is>
          <t xml:space="preserve"> To Draft a Marketing Strategy</t>
        </is>
      </c>
      <c r="C10" s="64" t="inlineStr">
        <is>
          <t>Act as a marketing expert for small businesses. Develop a comprehensive marketing strategy for [business name/type] aiming to enhance its market presence, increase customer base, and drive sales.
The strategy should provide a detailed analysis of the target audience, competitor landscape, and market trends. It must also outline actionable steps for digital and offline marketing, budget allocation, content creation, and customer engagement. Ensure the strategy is tailored to the business’s unique strengths and challenges and offers measurable goals to track performance and ROI. The strategy should also be flexible enough to adapt to changing market conditions and feedback.
Please provide a list of questions I need to answer so you have enough context before answering.</t>
        </is>
      </c>
      <c r="D10" s="52" t="n"/>
      <c r="E10" s="52" t="n"/>
      <c r="F10" s="52" t="n"/>
      <c r="G10" s="52" t="n"/>
      <c r="H10" s="52" t="n"/>
      <c r="I10" s="52" t="n"/>
      <c r="J10" s="52" t="n"/>
      <c r="K10" s="53" t="n"/>
      <c r="L10" s="64" t="inlineStr">
        <is>
          <t>roadmap for reaching your customers and achieving your business goals.</t>
        </is>
      </c>
      <c r="M10" s="52" t="n"/>
      <c r="N10" s="53" t="n"/>
    </row>
    <row r="11" ht="14.4" customHeight="1" s="55">
      <c r="A11" s="49" t="n"/>
      <c r="B11" s="49" t="n"/>
      <c r="C11" s="54" t="n"/>
      <c r="K11" s="56" t="n"/>
      <c r="L11" s="54" t="n"/>
      <c r="N11" s="56" t="n"/>
    </row>
    <row r="12" ht="14.4" customHeight="1" s="55">
      <c r="A12" s="49" t="n"/>
      <c r="B12" s="49" t="n"/>
      <c r="C12" s="54" t="n"/>
      <c r="K12" s="56" t="n"/>
      <c r="L12" s="54" t="n"/>
      <c r="N12" s="56" t="n"/>
    </row>
    <row r="13" ht="173.4" customHeight="1" s="55">
      <c r="A13" s="50" t="n"/>
      <c r="B13" s="50" t="n"/>
      <c r="C13" s="57" t="n"/>
      <c r="D13" s="58" t="n"/>
      <c r="E13" s="58" t="n"/>
      <c r="F13" s="58" t="n"/>
      <c r="G13" s="58" t="n"/>
      <c r="H13" s="58" t="n"/>
      <c r="I13" s="58" t="n"/>
      <c r="J13" s="58" t="n"/>
      <c r="K13" s="59" t="n"/>
      <c r="L13" s="57" t="n"/>
      <c r="M13" s="58" t="n"/>
      <c r="N13" s="59" t="n"/>
    </row>
    <row r="14" ht="14.4" customHeight="1" s="55">
      <c r="A14" s="48" t="n">
        <v>4</v>
      </c>
      <c r="B14" s="48" t="inlineStr">
        <is>
          <t>To Create a Social Media Strategy</t>
        </is>
      </c>
      <c r="C14" s="51" t="inlineStr">
        <is>
          <t>Act as a social media marketing expert. Develop a comprehensive social media strategy tailored for a small business looking to increase its online presence and engagement.
The strategy should cover platform selection based on the business’s target audience, content creation and curation, posting frequency, engagement tactics, and performance metrics. Additionally, identify potential opportunities for partnerships, promotions, and campaigns that can drive traffic and sales. Ensure the strategy aligns with the brand’s voice and values and provides actionable steps for implementation.
Please provide a list of questions I need to answer so you have enough context before answering.</t>
        </is>
      </c>
      <c r="D14" s="52" t="n"/>
      <c r="E14" s="52" t="n"/>
      <c r="F14" s="52" t="n"/>
      <c r="G14" s="52" t="n"/>
      <c r="H14" s="52" t="n"/>
      <c r="I14" s="52" t="n"/>
      <c r="J14" s="52" t="n"/>
      <c r="K14" s="53" t="n"/>
      <c r="L14" s="51" t="inlineStr">
        <is>
          <t xml:space="preserve">essential for increasing your online presence and engagement with customers. </t>
        </is>
      </c>
      <c r="M14" s="52" t="n"/>
      <c r="N14" s="53" t="n"/>
    </row>
    <row r="15" ht="14.4" customHeight="1" s="55">
      <c r="A15" s="49" t="n"/>
      <c r="B15" s="49" t="n"/>
      <c r="C15" s="54" t="n"/>
      <c r="K15" s="56" t="n"/>
      <c r="L15" s="54" t="n"/>
      <c r="N15" s="56" t="n"/>
    </row>
    <row r="16" ht="14.4" customHeight="1" s="55">
      <c r="A16" s="49" t="n"/>
      <c r="B16" s="49" t="n"/>
      <c r="C16" s="54" t="n"/>
      <c r="K16" s="56" t="n"/>
      <c r="L16" s="54" t="n"/>
      <c r="N16" s="56" t="n"/>
    </row>
    <row r="17" ht="136.8" customHeight="1" s="55">
      <c r="A17" s="50" t="n"/>
      <c r="B17" s="50" t="n"/>
      <c r="C17" s="57" t="n"/>
      <c r="D17" s="58" t="n"/>
      <c r="E17" s="58" t="n"/>
      <c r="F17" s="58" t="n"/>
      <c r="G17" s="58" t="n"/>
      <c r="H17" s="58" t="n"/>
      <c r="I17" s="58" t="n"/>
      <c r="J17" s="58" t="n"/>
      <c r="K17" s="59" t="n"/>
      <c r="L17" s="57" t="n"/>
      <c r="M17" s="58" t="n"/>
      <c r="N17" s="59" t="n"/>
    </row>
    <row r="18" ht="14.4" customHeight="1" s="55">
      <c r="A18" s="63" t="n">
        <v>5</v>
      </c>
      <c r="B18" s="63" t="inlineStr">
        <is>
          <t xml:space="preserve"> To Write a Sales Pitch for a Product</t>
        </is>
      </c>
      <c r="C18" s="64" t="inlineStr">
        <is>
          <t>Act as a seasoned salesman. Develop a compelling sales pitch for [product]. Your pitch should effectively communicate the value proposition of the product, addressing the potential needs and pain points of the target customer. Incorporate storytelling techniques to make the pitch relatable and memorable.
Ensure the pitch is concise yet powerful, tailored to the audience’s specific needs, and ends with a persuasive call to action that drives the customer to make a purchase or take the desired next step. Use your expertise and years of experience to anticipate objections and be prepared to handle them confidently. The pitch should instill trust, highlight the product’s advantages, and differentiate it from competitors.
Please provide a list of questions I need to answer so you have enough context before answering.</t>
        </is>
      </c>
      <c r="D18" s="52" t="n"/>
      <c r="E18" s="52" t="n"/>
      <c r="F18" s="52" t="n"/>
      <c r="G18" s="52" t="n"/>
      <c r="H18" s="52" t="n"/>
      <c r="I18" s="52" t="n"/>
      <c r="J18" s="52" t="n"/>
      <c r="K18" s="53" t="n"/>
      <c r="L18" s="64" t="inlineStr">
        <is>
          <t>develop a sales pitch that drives action and builds trust.</t>
        </is>
      </c>
      <c r="M18" s="52" t="n"/>
      <c r="N18" s="53" t="n"/>
    </row>
    <row r="19" ht="14.4" customHeight="1" s="55">
      <c r="A19" s="49" t="n"/>
      <c r="B19" s="49" t="n"/>
      <c r="C19" s="54" t="n"/>
      <c r="K19" s="56" t="n"/>
      <c r="L19" s="54" t="n"/>
      <c r="N19" s="56" t="n"/>
    </row>
    <row r="20" ht="14.4" customHeight="1" s="55">
      <c r="A20" s="49" t="n"/>
      <c r="B20" s="49" t="n"/>
      <c r="C20" s="54" t="n"/>
      <c r="K20" s="56" t="n"/>
      <c r="L20" s="54" t="n"/>
      <c r="N20" s="56" t="n"/>
    </row>
    <row r="21" ht="142.2" customHeight="1" s="55">
      <c r="A21" s="50" t="n"/>
      <c r="B21" s="50" t="n"/>
      <c r="C21" s="57" t="n"/>
      <c r="D21" s="58" t="n"/>
      <c r="E21" s="58" t="n"/>
      <c r="F21" s="58" t="n"/>
      <c r="G21" s="58" t="n"/>
      <c r="H21" s="58" t="n"/>
      <c r="I21" s="58" t="n"/>
      <c r="J21" s="58" t="n"/>
      <c r="K21" s="59" t="n"/>
      <c r="L21" s="57" t="n"/>
      <c r="M21" s="58" t="n"/>
      <c r="N21" s="59" t="n"/>
    </row>
    <row r="22" ht="14.4" customHeight="1" s="55">
      <c r="A22" s="48" t="n">
        <v>6</v>
      </c>
      <c r="B22" s="48" t="inlineStr">
        <is>
          <t>To Handle Customer Objections</t>
        </is>
      </c>
      <c r="C22" s="51" t="inlineStr">
        <is>
          <t>Act as a seasoned salesman with expertise in handling objections. Navigate through customer [objections] related to [product/service].
Your task is to listen actively to the concerns of the customer, acknowledge their reservations, and provide a compelling counter-argument that showcases the value and benefits of [product/service]. Utilize proven sales techniques to overcome objections, build trust, and guide the conversation towards a positive outcome. Always maintain a professional demeanor and aim to enhance the customer’s understanding and satisfaction.
Please provide a list of questions I need to answer so you have enough context before answering.</t>
        </is>
      </c>
      <c r="D22" s="52" t="n"/>
      <c r="E22" s="52" t="n"/>
      <c r="F22" s="52" t="n"/>
      <c r="G22" s="52" t="n"/>
      <c r="H22" s="52" t="n"/>
      <c r="I22" s="52" t="n"/>
      <c r="J22" s="52" t="n"/>
      <c r="K22" s="53" t="n"/>
      <c r="L22" s="51" t="inlineStr">
        <is>
          <t>closing sales and building trust with customers.
By developing persuasive responses and actively listening to customer concerns, you can enhance their understanding and satisfaction with your product or service.</t>
        </is>
      </c>
      <c r="M22" s="52" t="n"/>
      <c r="N22" s="53" t="n"/>
    </row>
    <row r="23" ht="14.4" customHeight="1" s="55">
      <c r="A23" s="49" t="n"/>
      <c r="B23" s="49" t="n"/>
      <c r="C23" s="54" t="n"/>
      <c r="K23" s="56" t="n"/>
      <c r="L23" s="54" t="n"/>
      <c r="N23" s="56" t="n"/>
    </row>
    <row r="24" ht="14.4" customHeight="1" s="55">
      <c r="A24" s="49" t="n"/>
      <c r="B24" s="49" t="n"/>
      <c r="C24" s="54" t="n"/>
      <c r="K24" s="56" t="n"/>
      <c r="L24" s="54" t="n"/>
      <c r="N24" s="56" t="n"/>
    </row>
    <row r="25" ht="196.8" customHeight="1" s="55">
      <c r="A25" s="50" t="n"/>
      <c r="B25" s="50" t="n"/>
      <c r="C25" s="57" t="n"/>
      <c r="D25" s="58" t="n"/>
      <c r="E25" s="58" t="n"/>
      <c r="F25" s="58" t="n"/>
      <c r="G25" s="58" t="n"/>
      <c r="H25" s="58" t="n"/>
      <c r="I25" s="58" t="n"/>
      <c r="J25" s="58" t="n"/>
      <c r="K25" s="59" t="n"/>
      <c r="L25" s="57" t="n"/>
      <c r="M25" s="58" t="n"/>
      <c r="N25" s="59" t="n"/>
    </row>
    <row r="26" ht="14.4" customHeight="1" s="55">
      <c r="A26" s="63" t="n">
        <v>7</v>
      </c>
      <c r="B26" s="63" t="inlineStr">
        <is>
          <t>To Improve Operational Efficiency</t>
        </is>
      </c>
      <c r="C26" s="64" t="inlineStr">
        <is>
          <t>Act as an operations manager. Assess and analyze the current operational processes of the small business to identify bottlenecks, inefficiencies, and areas for improvement.
Develop and implement strategies to streamline workflows, optimize resources, and reduce operational costs.
Please provide a list of questions I need to answer so you have enough context before answering.</t>
        </is>
      </c>
      <c r="D26" s="52" t="n"/>
      <c r="E26" s="52" t="n"/>
      <c r="F26" s="52" t="n"/>
      <c r="G26" s="52" t="n"/>
      <c r="H26" s="52" t="n"/>
      <c r="I26" s="52" t="n"/>
      <c r="J26" s="52" t="n"/>
      <c r="K26" s="53" t="n"/>
      <c r="L26" s="64" t="inlineStr">
        <is>
          <t>key to reducing costs and maximizing productivity.
to optimize resources and reduce costs</t>
        </is>
      </c>
      <c r="M26" s="52" t="n"/>
      <c r="N26" s="53" t="n"/>
    </row>
    <row r="27" ht="14.4" customHeight="1" s="55">
      <c r="A27" s="49" t="n"/>
      <c r="B27" s="49" t="n"/>
      <c r="C27" s="54" t="n"/>
      <c r="K27" s="56" t="n"/>
      <c r="L27" s="54" t="n"/>
      <c r="N27" s="56" t="n"/>
    </row>
    <row r="28" ht="14.4" customHeight="1" s="55">
      <c r="A28" s="49" t="n"/>
      <c r="B28" s="49" t="n"/>
      <c r="C28" s="54" t="n"/>
      <c r="K28" s="56" t="n"/>
      <c r="L28" s="54" t="n"/>
      <c r="N28" s="56" t="n"/>
    </row>
    <row r="29" ht="102.6" customHeight="1" s="55">
      <c r="A29" s="50" t="n"/>
      <c r="B29" s="50" t="n"/>
      <c r="C29" s="57" t="n"/>
      <c r="D29" s="58" t="n"/>
      <c r="E29" s="58" t="n"/>
      <c r="F29" s="58" t="n"/>
      <c r="G29" s="58" t="n"/>
      <c r="H29" s="58" t="n"/>
      <c r="I29" s="58" t="n"/>
      <c r="J29" s="58" t="n"/>
      <c r="K29" s="59" t="n"/>
      <c r="L29" s="57" t="n"/>
      <c r="M29" s="58" t="n"/>
      <c r="N29" s="59" t="n"/>
    </row>
    <row r="30" ht="14.4" customHeight="1" s="55">
      <c r="A30" s="48" t="n">
        <v>8</v>
      </c>
      <c r="B30" s="48" t="inlineStr">
        <is>
          <t xml:space="preserve"> To Help With Risk Management</t>
        </is>
      </c>
      <c r="C30" s="51" t="inlineStr">
        <is>
          <t>Act as a Business Development Specialist with a focus on risk management. Develop a comprehensive risk management strategy for a small [business].
Your plan should identify potential threats and vulnerabilities in the business’s operations, financials, and market environment. Assess the likelihood and impact of each risk and propose mitigation strategies to reduce or eliminate their potential damage. The strategy should also include a contingency plan for unforeseen challenges and a review mechanism to regularly update the risk profile. Ensure that the risk management approach aligns with the business’s goals, resources, and industry standards.
Please provide a list of questions I need to answer so you have enough context before answering.</t>
        </is>
      </c>
      <c r="D30" s="52" t="n"/>
      <c r="E30" s="52" t="n"/>
      <c r="F30" s="52" t="n"/>
      <c r="G30" s="52" t="n"/>
      <c r="H30" s="52" t="n"/>
      <c r="I30" s="52" t="n"/>
      <c r="J30" s="52" t="n"/>
      <c r="K30" s="53" t="n"/>
      <c r="L30" s="51" t="inlineStr">
        <is>
          <t>it’s essential for long-term success and 
proactively address potential threats and ensure your business remains resilient.</t>
        </is>
      </c>
      <c r="M30" s="52" t="n"/>
      <c r="N30" s="53" t="n"/>
    </row>
    <row r="31" ht="14.4" customHeight="1" s="55">
      <c r="A31" s="49" t="n"/>
      <c r="B31" s="49" t="n"/>
      <c r="C31" s="54" t="n"/>
      <c r="K31" s="56" t="n"/>
      <c r="L31" s="54" t="n"/>
      <c r="N31" s="56" t="n"/>
    </row>
    <row r="32" ht="14.4" customHeight="1" s="55">
      <c r="A32" s="49" t="n"/>
      <c r="B32" s="49" t="n"/>
      <c r="C32" s="54" t="n"/>
      <c r="K32" s="56" t="n"/>
      <c r="L32" s="54" t="n"/>
      <c r="N32" s="56" t="n"/>
    </row>
    <row r="33" ht="186.6" customHeight="1" s="55">
      <c r="A33" s="50" t="n"/>
      <c r="B33" s="50" t="n"/>
      <c r="C33" s="57" t="n"/>
      <c r="D33" s="58" t="n"/>
      <c r="E33" s="58" t="n"/>
      <c r="F33" s="58" t="n"/>
      <c r="G33" s="58" t="n"/>
      <c r="H33" s="58" t="n"/>
      <c r="I33" s="58" t="n"/>
      <c r="J33" s="58" t="n"/>
      <c r="K33" s="59" t="n"/>
      <c r="L33" s="57" t="n"/>
      <c r="M33" s="58" t="n"/>
      <c r="N33" s="59" t="n"/>
    </row>
    <row r="34" ht="14.4" customHeight="1" s="55">
      <c r="A34" s="63" t="n">
        <v>9</v>
      </c>
      <c r="B34" s="63" t="inlineStr">
        <is>
          <t xml:space="preserve"> To Do Budgeting</t>
        </is>
      </c>
      <c r="C34" s="64" t="inlineStr">
        <is>
          <t>Act as a Financial Advisor. Develop a comprehensive budget allocation strategy for a small business for the upcoming fiscal year. Analyze the business’s past financial data, current economic trends, and any potential future expenses.
Take into consideration the business’s goals, growth prospects, and risk appetite. The allocation should be optimized to ensure operational efficiency, capitalizing on potential investment opportunities, and safeguarding against unforeseen expenses. Provide detailed recommendations on areas of investment, savings, and any necessary cutbacks.
Please provide a list of questions I need to answer so you have enough context before answering.</t>
        </is>
      </c>
      <c r="D34" s="52" t="n"/>
      <c r="E34" s="52" t="n"/>
      <c r="F34" s="52" t="n"/>
      <c r="G34" s="52" t="n"/>
      <c r="H34" s="52" t="n"/>
      <c r="I34" s="52" t="n"/>
      <c r="J34" s="52" t="n"/>
      <c r="K34" s="53" t="n"/>
      <c r="L34" s="64" t="inlineStr">
        <is>
          <t>Developing a comprehensive budget that accounts for all aspects of your business 
and analyzing past financial data and current trends,
essential for keeping your business on track financially.</t>
        </is>
      </c>
      <c r="M34" s="52" t="n"/>
      <c r="N34" s="53" t="n"/>
    </row>
    <row r="35" ht="14.4" customHeight="1" s="55">
      <c r="A35" s="49" t="n"/>
      <c r="B35" s="49" t="n"/>
      <c r="C35" s="54" t="n"/>
      <c r="K35" s="56" t="n"/>
      <c r="L35" s="54" t="n"/>
      <c r="N35" s="56" t="n"/>
    </row>
    <row r="36" ht="14.4" customHeight="1" s="55">
      <c r="A36" s="49" t="n"/>
      <c r="B36" s="49" t="n"/>
      <c r="C36" s="54" t="n"/>
      <c r="K36" s="56" t="n"/>
      <c r="L36" s="54" t="n"/>
      <c r="N36" s="56" t="n"/>
    </row>
    <row r="37" ht="14.4" customHeight="1" s="55">
      <c r="A37" s="50" t="n"/>
      <c r="B37" s="50" t="n"/>
      <c r="C37" s="57" t="n"/>
      <c r="D37" s="58" t="n"/>
      <c r="E37" s="58" t="n"/>
      <c r="F37" s="58" t="n"/>
      <c r="G37" s="58" t="n"/>
      <c r="H37" s="58" t="n"/>
      <c r="I37" s="58" t="n"/>
      <c r="J37" s="58" t="n"/>
      <c r="K37" s="59" t="n"/>
      <c r="L37" s="57" t="n"/>
      <c r="M37" s="58" t="n"/>
      <c r="N37" s="59" t="n"/>
    </row>
    <row r="38" ht="14.4" customHeight="1" s="55">
      <c r="A38" s="48" t="n">
        <v>10</v>
      </c>
      <c r="B38" s="48" t="inlineStr">
        <is>
          <t xml:space="preserve"> To Brainstorm Product Ideas</t>
        </is>
      </c>
      <c r="C38" s="51" t="inlineStr">
        <is>
          <t>Act as a creative expert specializing in product ideation. Brainstorm innovative product ideas tailored for [business]. Consider the business’s target audience, market trends, and current product line.
The ideas should be unique, viable, and align with the brand’s values and mission. Provide a brief description for each product idea, including its potential benefits and how it differentiates from competitors. Ensure that the ideas cater to the current market demands and have the potential to drive sales and enhance the brand’s reputation.
Please provide a list of questions I need to answer so you have enough context before answering.</t>
        </is>
      </c>
      <c r="D38" s="52" t="n"/>
      <c r="E38" s="52" t="n"/>
      <c r="F38" s="52" t="n"/>
      <c r="G38" s="52" t="n"/>
      <c r="H38" s="52" t="n"/>
      <c r="I38" s="52" t="n"/>
      <c r="J38" s="52" t="n"/>
      <c r="K38" s="53" t="n"/>
      <c r="L38" s="51" t="inlineStr">
        <is>
          <t>you can develop product ideas that drive sales and enhance your brand’s reputation.</t>
        </is>
      </c>
      <c r="M38" s="52" t="n"/>
      <c r="N38" s="53" t="n"/>
    </row>
    <row r="39" ht="14.4" customHeight="1" s="55">
      <c r="A39" s="49" t="n"/>
      <c r="B39" s="49" t="n"/>
      <c r="C39" s="54" t="n"/>
      <c r="K39" s="56" t="n"/>
      <c r="L39" s="54" t="n"/>
      <c r="N39" s="56" t="n"/>
    </row>
    <row r="40" ht="14.4" customHeight="1" s="55">
      <c r="A40" s="49" t="n"/>
      <c r="B40" s="49" t="n"/>
      <c r="C40" s="54" t="n"/>
      <c r="K40" s="56" t="n"/>
      <c r="L40" s="54" t="n"/>
      <c r="N40" s="56" t="n"/>
    </row>
    <row r="41" ht="130.2" customHeight="1" s="55">
      <c r="A41" s="50" t="n"/>
      <c r="B41" s="50" t="n"/>
      <c r="C41" s="57" t="n"/>
      <c r="D41" s="58" t="n"/>
      <c r="E41" s="58" t="n"/>
      <c r="F41" s="58" t="n"/>
      <c r="G41" s="58" t="n"/>
      <c r="H41" s="58" t="n"/>
      <c r="I41" s="58" t="n"/>
      <c r="J41" s="58" t="n"/>
      <c r="K41" s="59" t="n"/>
      <c r="L41" s="57" t="n"/>
      <c r="M41" s="58" t="n"/>
      <c r="N41" s="59" t="n"/>
    </row>
    <row r="42" ht="14.4" customHeight="1" s="55">
      <c r="A42" s="63" t="n">
        <v>11</v>
      </c>
      <c r="B42" s="63" t="inlineStr">
        <is>
          <t>To Identify Market Gaps</t>
        </is>
      </c>
      <c r="C42" s="64" t="inlineStr">
        <is>
          <t>Act as a business development specialist. Analyze the current market landscape related to [business] to identify potential market gaps and untapped opportunities. This involves conducting comprehensive market research, analyzing competitors, evaluating customer needs and preferences, and staying updated on industry trends.
Once you’ve gathered relevant data, create a detailed report highlighting the identified gaps, supported by data-driven insights, and propose actionable strategies to capitalize on these opportunities to drive business growth. Ensure that your recommendations are feasible, aligned with the company’s objectives, and can offer a competitive advantage.
Please provide a list of questions I need to answer so you have enough context before answering.</t>
        </is>
      </c>
      <c r="D42" s="52" t="n"/>
      <c r="E42" s="52" t="n"/>
      <c r="F42" s="52" t="n"/>
      <c r="G42" s="52" t="n"/>
      <c r="H42" s="52" t="n"/>
      <c r="I42" s="52" t="n"/>
      <c r="J42" s="52" t="n"/>
      <c r="K42" s="53" t="n"/>
      <c r="L42" s="64" t="inlineStr">
        <is>
          <t xml:space="preserve"> analyzing competitors and customer needs, you can propose strategies to capitalize on these opportunities and drive business growth.</t>
        </is>
      </c>
      <c r="M42" s="52" t="n"/>
      <c r="N42" s="53" t="n"/>
    </row>
    <row r="43" ht="14.4" customHeight="1" s="55">
      <c r="A43" s="49" t="n"/>
      <c r="B43" s="49" t="n"/>
      <c r="C43" s="54" t="n"/>
      <c r="K43" s="56" t="n"/>
      <c r="L43" s="54" t="n"/>
      <c r="N43" s="56" t="n"/>
    </row>
    <row r="44" ht="14.4" customHeight="1" s="55">
      <c r="A44" s="49" t="n"/>
      <c r="B44" s="49" t="n"/>
      <c r="C44" s="54" t="n"/>
      <c r="K44" s="56" t="n"/>
      <c r="L44" s="54" t="n"/>
      <c r="N44" s="56" t="n"/>
    </row>
    <row r="45" ht="174.6" customHeight="1" s="55">
      <c r="A45" s="50" t="n"/>
      <c r="B45" s="50" t="n"/>
      <c r="C45" s="57" t="n"/>
      <c r="D45" s="58" t="n"/>
      <c r="E45" s="58" t="n"/>
      <c r="F45" s="58" t="n"/>
      <c r="G45" s="58" t="n"/>
      <c r="H45" s="58" t="n"/>
      <c r="I45" s="58" t="n"/>
      <c r="J45" s="58" t="n"/>
      <c r="K45" s="59" t="n"/>
      <c r="L45" s="57" t="n"/>
      <c r="M45" s="58" t="n"/>
      <c r="N45" s="59" t="n"/>
    </row>
    <row r="46" ht="14.4" customHeight="1" s="55">
      <c r="A46" s="48" t="n">
        <v>12</v>
      </c>
      <c r="B46" s="48" t="inlineStr">
        <is>
          <t>To Suggest Growth Opportunities</t>
        </is>
      </c>
      <c r="C46" s="51" t="inlineStr">
        <is>
          <t>Act as a business development specialist. Analyze the current market landscape related to [business] to identify potential market gaps and untapped opportunities. This involves conducting comprehensive market research, analyzing competitors, evaluating customer needs and preferences, and staying updated on industry trends.
Once you’ve gathered relevant data, create a detailed report highlighting the identified gaps, supported by data-driven insights, and propose actionable strategies to capitalize on these opportunities to drive business growth. Ensure that your recommendations are feasible, aligned with the company’s objectives, and can offer a competitive advantage.
Please provide a list of questions I need to answer so you have enough context before answering.</t>
        </is>
      </c>
      <c r="D46" s="52" t="n"/>
      <c r="E46" s="52" t="n"/>
      <c r="F46" s="52" t="n"/>
      <c r="G46" s="52" t="n"/>
      <c r="H46" s="52" t="n"/>
      <c r="I46" s="52" t="n"/>
      <c r="J46" s="52" t="n"/>
      <c r="K46" s="53" t="n"/>
      <c r="L46" s="51" t="inlineStr">
        <is>
          <t>By analyzing your business’s current status and market positioning, you can discover and leverage opportunities to drive growth effectively.</t>
        </is>
      </c>
      <c r="M46" s="52" t="n"/>
      <c r="N46" s="53" t="n"/>
    </row>
    <row r="47" ht="14.4" customHeight="1" s="55">
      <c r="A47" s="49" t="n"/>
      <c r="B47" s="49" t="n"/>
      <c r="C47" s="54" t="n"/>
      <c r="K47" s="56" t="n"/>
      <c r="L47" s="54" t="n"/>
      <c r="N47" s="56" t="n"/>
    </row>
    <row r="48" ht="14.4" customHeight="1" s="55">
      <c r="A48" s="49" t="n"/>
      <c r="B48" s="49" t="n"/>
      <c r="C48" s="54" t="n"/>
      <c r="K48" s="56" t="n"/>
      <c r="L48" s="54" t="n"/>
      <c r="N48" s="56" t="n"/>
    </row>
    <row r="49" ht="226.8" customHeight="1" s="55">
      <c r="A49" s="50" t="n"/>
      <c r="B49" s="50" t="n"/>
      <c r="C49" s="57" t="n"/>
      <c r="D49" s="58" t="n"/>
      <c r="E49" s="58" t="n"/>
      <c r="F49" s="58" t="n"/>
      <c r="G49" s="58" t="n"/>
      <c r="H49" s="58" t="n"/>
      <c r="I49" s="58" t="n"/>
      <c r="J49" s="58" t="n"/>
      <c r="K49" s="59" t="n"/>
      <c r="L49" s="57" t="n"/>
      <c r="M49" s="58" t="n"/>
      <c r="N49" s="59" t="n"/>
    </row>
    <row r="50" ht="226.8" customFormat="1" customHeight="1" s="5">
      <c r="A50" s="65" t="n"/>
      <c r="B50" s="65" t="n"/>
      <c r="C50" s="61" t="n"/>
      <c r="D50" s="61" t="n"/>
      <c r="E50" s="61" t="n"/>
      <c r="F50" s="61" t="n"/>
      <c r="G50" s="61" t="n"/>
      <c r="H50" s="61" t="n"/>
      <c r="I50" s="61" t="n"/>
      <c r="J50" s="61" t="n"/>
      <c r="K50" s="61" t="n"/>
      <c r="L50" s="61" t="n"/>
      <c r="M50" s="61" t="n"/>
      <c r="N50" s="62" t="n"/>
    </row>
    <row r="51">
      <c r="A51" s="63" t="n">
        <v>1</v>
      </c>
      <c r="B51" s="63" t="inlineStr">
        <is>
          <t>to get  a job</t>
        </is>
      </c>
      <c r="C51" s="64" t="inlineStr">
        <is>
          <t>“Imagine you are a skilled career coach specializing in technology sector placements. I am a software developer with 2 years of experience in Java and Python, looking to apply for a mid-level developer position at a top tech company like SandTech.
Draft a tailored cover letter for me, highlighting my key projects and leadership experiences.
The cover letter should:
Start with a brief introduction of my background. Include bullet points for each major project, specifying the technologies used, the impact on the business, and any leadership roles I held.
Conclude with a short paragraph that communicates my enthusiasm for the role and my readiness to contribute to innovative projects.
Use a professional yet approachable tone to reflect my personality and the collaborative culture of the tech industry</t>
        </is>
      </c>
      <c r="D51" s="52" t="n"/>
      <c r="E51" s="52" t="n"/>
      <c r="F51" s="52" t="n"/>
      <c r="G51" s="52" t="n"/>
      <c r="H51" s="52" t="n"/>
      <c r="I51" s="52" t="n"/>
      <c r="J51" s="52" t="n"/>
      <c r="K51" s="53" t="n"/>
      <c r="L51" s="64" t="n"/>
      <c r="M51" s="52" t="n"/>
      <c r="N51" s="53" t="n"/>
    </row>
    <row r="52">
      <c r="A52" s="49" t="n"/>
      <c r="B52" s="49" t="n"/>
      <c r="C52" s="54" t="n"/>
      <c r="K52" s="56" t="n"/>
      <c r="L52" s="54" t="n"/>
      <c r="N52" s="56" t="n"/>
    </row>
    <row r="53">
      <c r="A53" s="49" t="n"/>
      <c r="B53" s="49" t="n"/>
      <c r="C53" s="54" t="n"/>
      <c r="K53" s="56" t="n"/>
      <c r="L53" s="54" t="n"/>
      <c r="N53" s="56" t="n"/>
    </row>
    <row r="54" ht="198" customHeight="1" s="55">
      <c r="A54" s="50" t="n"/>
      <c r="B54" s="50" t="n"/>
      <c r="C54" s="57" t="n"/>
      <c r="D54" s="58" t="n"/>
      <c r="E54" s="58" t="n"/>
      <c r="F54" s="58" t="n"/>
      <c r="G54" s="58" t="n"/>
      <c r="H54" s="58" t="n"/>
      <c r="I54" s="58" t="n"/>
      <c r="J54" s="58" t="n"/>
      <c r="K54" s="59" t="n"/>
      <c r="L54" s="57" t="n"/>
      <c r="M54" s="58" t="n"/>
      <c r="N54" s="59" t="n"/>
    </row>
    <row r="55" ht="61.8" customHeight="1" s="55"/>
    <row r="56">
      <c r="A56" s="63" t="n">
        <v>1</v>
      </c>
      <c r="B56" s="63" t="inlineStr">
        <is>
          <t>جدول زمني</t>
        </is>
      </c>
      <c r="C56" s="64" t="inlineStr">
        <is>
          <t xml:space="preserve"> قم بعمل جدول زمني لهذه الانشطة تحت تقسيمة حزم الاعمال يشمل. يشتمل الجدول على تاريخ البداية وتاريخ النهاية ومدة النشاط والنشاط السابق لكل نشاط </t>
        </is>
      </c>
      <c r="D56" s="52" t="n"/>
      <c r="E56" s="52" t="n"/>
      <c r="F56" s="52" t="n"/>
      <c r="G56" s="52" t="n"/>
      <c r="H56" s="52" t="n"/>
      <c r="I56" s="52" t="n"/>
      <c r="J56" s="52" t="n"/>
      <c r="K56" s="53" t="n"/>
      <c r="L56" s="64" t="n"/>
      <c r="M56" s="52" t="n"/>
      <c r="N56" s="53" t="n"/>
    </row>
    <row r="57">
      <c r="A57" s="49" t="n"/>
      <c r="B57" s="49" t="n"/>
      <c r="C57" s="54" t="n"/>
      <c r="K57" s="56" t="n"/>
      <c r="L57" s="54" t="n"/>
      <c r="N57" s="56" t="n"/>
    </row>
    <row r="58">
      <c r="A58" s="49" t="n"/>
      <c r="B58" s="49" t="n"/>
      <c r="C58" s="54" t="n"/>
      <c r="K58" s="56" t="n"/>
      <c r="L58" s="54" t="n"/>
      <c r="N58" s="56" t="n"/>
    </row>
    <row r="59">
      <c r="A59" s="50" t="n"/>
      <c r="B59" s="50" t="n"/>
      <c r="C59" s="57" t="n"/>
      <c r="D59" s="58" t="n"/>
      <c r="E59" s="58" t="n"/>
      <c r="F59" s="58" t="n"/>
      <c r="G59" s="58" t="n"/>
      <c r="H59" s="58" t="n"/>
      <c r="I59" s="58" t="n"/>
      <c r="J59" s="58" t="n"/>
      <c r="K59" s="59" t="n"/>
      <c r="L59" s="57" t="n"/>
      <c r="M59" s="58" t="n"/>
      <c r="N59" s="59" t="n"/>
    </row>
    <row r="61">
      <c r="A61" s="63" t="n">
        <v>1</v>
      </c>
      <c r="B61" s="63" t="inlineStr">
        <is>
          <t xml:space="preserve">to make   a rusme for a planning engineer </t>
        </is>
      </c>
      <c r="C61" s="64" t="inlineStr">
        <is>
          <t>You are an expert resume consultant and civil engineering recruitment 
specialist with 20+ years of experience helping planning engineers 
secure roles at major corporations (EPC contractors, government 
bodies, oil &amp; gas companies, and large infrastructure firms).
I will provide you with my current resume. Your job is to help me 
edit and optimize it step-by-step for a Senior Planning Engineer 
role at a major corporation.
Follow this exact process:
─────────────────────────────────────────
STEP 1 — RESUME DIAGNOSIS
─────────────────────────────────────────
Read my resume carefully and provide:
- An overall score out of 10 for: Content, Impact, ATS 
  Compatibility, and Formatting
- A list of the 3 biggest weaknesses you identify
- A list of the 3 biggest strengths already present
- A summary of what is missing compared to what major 
  corporations expect from a Planning Engineer resume
Do NOT make any edits yet. Just diagnose.
Wait for my confirmation before moving to Step 2.
─────────────────────────────────────────
STEP 2 — PROFESSIONAL SUMMARY REWRITE
─────────────────────────────────────────
Write a powerful 4-sentence professional summary that:
- Opens with my years of experience and core specialization
- Highlights my strongest technical skills 
  (Primavera P6, MS Project, EVM, CPM, etc.)
- Mentions the scale and value of projects I have handled
- Ends with a value proposition for the hiring company
Present 2 versions: one for an EPC/construction company, 
one for an oil &amp; gas or government client.
Wait for my feedback and approval before moving to Step 3.
─────────────────────────────────────────
STEP 3 — CORE COMPETENCIES SECTION
─────────────────────────────────────────
Build a Core Competencies section with 12–16 keywords and 
skills pulled from my resume, enhanced with standard 
industry ATS keywords for planning engineers, including:
Technical skills (scheduling tools, methodologies)
Project management skills (EVM, risk, reporting)
Soft skills relevant to corporate environments
Contract/commercial awareness terms if applicable
Format them in a clean 3-column layout.
Wait for my approval before moving to Step 4.
─────────────────────────────────────────
STEP 4 — PROFESSIONAL EXPERIENCE REWRITE
─────────────────────────────────────────
For each role in my resume, rewrite the bullet points to:
- Start with a strong action verb 
  (Developed, Managed, Analyzed, Led, Implemented, etc.)
- Describe the task with relevant technical context
- End with a quantified result or measurable impact
- Include relevant keywords naturally 
  (critical path, baseline, float, WBS, lookahead, etc.)
Rewrite one role at a time and wait for my approval 
before moving to the next role.
─────────────────────────────────────────
STEP 5 — EDUCATION, CERTS &amp; SOFTWARE
─────────────────────────────────────────
Review and optimize:
- Education section formatting and relevance
- Certifications (suggest any missing ones valuable 
  for planning engineers such as PMP, PMI-SP, 
  Oracle P6 Certification, Prince2)
- Software proficiency section with proper 
  categorization and level indicators
Wait for my approval before moving to Step 6.
─────────────────────────────────────────
STEP 6 — ATS &amp; KEYWORD GAP ANALYSIS
─────────────────────────────────────────
Review the fully updated resume and:
- List any ATS-critical keywords still missing
- Flag any formatting elements that could 
  cause ATS parsing failures (tables, graphics, 
  headers, special characters)
- Confirm the resume is optimized for digital 
  submission to major corporations
Suggest a final keyword list to embed naturally 
if any gaps remain.
─────────────────────────────────────────
STEP 7 — FINAL REVIEW &amp; SUBMISSION CHECK
─────────────────────────────────────────
Perform a final quality check covering:
- Grammar, spelling, and punctuation
- Consistent tense (past tense for previous roles, 
  present for current role)
- Consistent formatting across all sections
- Overall length check (target: 2 pages maximum)
- Professional tone and corporate language
- File naming recommendation
Provide a final score out of 10 across all 4 categories 
from Step 1 and confirm the resume is ready for submission.
─────────────────────────────────────────
IMPORTANT RULES FOR YOU TO FOLLOW:
─────────────────────────────────────────
- Work step-by-step. Never skip ahead without my approval.
- Always wait for my confirmation before proceeding 
  to the next step.
- If you need clarification about my experience, 
  ask before assuming.
- Preserve all factual information — do not invent 
  experience, companies, dates, or achievements.
- Keep the language confident, professional, and 
  achievement-oriented at all times.
- Flag anything you are unsure about rather than guessing.
─────────────────────────────────────────
MY RESUME IS BELOW — BEGIN WITH STEP 1:
─────────────────────────────────────────
[PASTE YOUR RESUME HERE]</t>
        </is>
      </c>
      <c r="D61" s="52" t="n"/>
      <c r="E61" s="52" t="n"/>
      <c r="F61" s="52" t="n"/>
      <c r="G61" s="52" t="n"/>
      <c r="H61" s="52" t="n"/>
      <c r="I61" s="52" t="n"/>
      <c r="J61" s="52" t="n"/>
      <c r="K61" s="53" t="n"/>
      <c r="L61" s="64" t="n"/>
      <c r="M61" s="52" t="n"/>
      <c r="N61" s="53" t="n"/>
    </row>
    <row r="62">
      <c r="A62" s="49" t="n"/>
      <c r="B62" s="49" t="n"/>
      <c r="C62" s="54" t="n"/>
      <c r="K62" s="56" t="n"/>
      <c r="L62" s="54" t="n"/>
      <c r="N62" s="56" t="n"/>
    </row>
    <row r="63">
      <c r="A63" s="49" t="n"/>
      <c r="B63" s="49" t="n"/>
      <c r="C63" s="54" t="n"/>
      <c r="K63" s="56" t="n"/>
      <c r="L63" s="54" t="n"/>
      <c r="N63" s="56" t="n"/>
    </row>
    <row r="64" ht="409.05" customHeight="1" s="55">
      <c r="A64" s="50" t="n"/>
      <c r="B64" s="50" t="n"/>
      <c r="C64" s="57" t="n"/>
      <c r="D64" s="58" t="n"/>
      <c r="E64" s="58" t="n"/>
      <c r="F64" s="58" t="n"/>
      <c r="G64" s="58" t="n"/>
      <c r="H64" s="58" t="n"/>
      <c r="I64" s="58" t="n"/>
      <c r="J64" s="58" t="n"/>
      <c r="K64" s="59" t="n"/>
      <c r="L64" s="57" t="n"/>
      <c r="M64" s="58" t="n"/>
      <c r="N64" s="59" t="n"/>
    </row>
    <row r="65" ht="409.05" customHeight="1" s="55">
      <c r="C65" t="inlineStr">
        <is>
          <t xml:space="preserve">You are an expert resume consultant and civil engineering recruitment </t>
        </is>
      </c>
    </row>
    <row r="66">
      <c r="C66" t="inlineStr">
        <is>
          <t xml:space="preserve">specialist with 20+ years of experience helping civil engineers </t>
        </is>
      </c>
    </row>
    <row r="67">
      <c r="C67" t="inlineStr">
        <is>
          <t xml:space="preserve">secure roles at major corporations (EPC contractors, government </t>
        </is>
      </c>
    </row>
    <row r="68">
      <c r="C68" t="inlineStr">
        <is>
          <t>bodies, infrastructure firms, and large construction companies).</t>
        </is>
      </c>
    </row>
    <row r="70">
      <c r="C70" t="inlineStr">
        <is>
          <t xml:space="preserve">I will provide you with my current resume. Your job is to help me </t>
        </is>
      </c>
    </row>
    <row r="71">
      <c r="C71" t="inlineStr">
        <is>
          <t xml:space="preserve">edit and optimize it step-by-step for a Senior Civil Engineer </t>
        </is>
      </c>
    </row>
    <row r="72">
      <c r="C72" t="inlineStr">
        <is>
          <t>role at a major contracting company.</t>
        </is>
      </c>
    </row>
    <row r="74">
      <c r="C74" t="inlineStr">
        <is>
          <t>Follow this exact process:</t>
        </is>
      </c>
    </row>
    <row r="76">
      <c r="C76" t="inlineStr">
        <is>
          <t>─────────────────────────────────────────</t>
        </is>
      </c>
    </row>
    <row r="77">
      <c r="C77" t="inlineStr">
        <is>
          <t>STEP 1 — RESUME DIAGNOSIS</t>
        </is>
      </c>
    </row>
    <row r="78">
      <c r="C78" t="inlineStr">
        <is>
          <t>─────────────────────────────────────────</t>
        </is>
      </c>
    </row>
    <row r="79">
      <c r="C79" t="inlineStr">
        <is>
          <t>Read my resume carefully and provide:</t>
        </is>
      </c>
    </row>
    <row r="80">
      <c r="C80" t="inlineStr">
        <is>
          <t xml:space="preserve">- An overall score out of 10 for: Content, Impact, ATS </t>
        </is>
      </c>
    </row>
    <row r="81">
      <c r="C81" t="inlineStr">
        <is>
          <t xml:space="preserve">  Compatibility, and Formatting</t>
        </is>
      </c>
    </row>
    <row r="82">
      <c r="C82" t="inlineStr">
        <is>
          <t>- A list of the 3 biggest weaknesses you identify</t>
        </is>
      </c>
    </row>
    <row r="83">
      <c r="C83" t="inlineStr">
        <is>
          <t>- A list of the 3 biggest strengths already present</t>
        </is>
      </c>
    </row>
    <row r="84">
      <c r="C84">
        <f>- A summary of what is missing compared to what major</f>
        <v/>
      </c>
    </row>
    <row r="85">
      <c r="C85" t="inlineStr">
        <is>
          <t xml:space="preserve">  contracting companies expect from a Senior Civil Engineer resume</t>
        </is>
      </c>
    </row>
    <row r="87">
      <c r="C87" t="inlineStr">
        <is>
          <t>Do NOT make any edits yet. Just diagnose.</t>
        </is>
      </c>
    </row>
    <row r="88">
      <c r="C88" t="inlineStr">
        <is>
          <t>Wait for my confirmation before moving to Step 2.</t>
        </is>
      </c>
    </row>
    <row r="90">
      <c r="C90" t="inlineStr">
        <is>
          <t>─────────────────────────────────────────</t>
        </is>
      </c>
    </row>
    <row r="91">
      <c r="C91" t="inlineStr">
        <is>
          <t>STEP 2 — PROFESSIONAL SUMMARY REWRITE</t>
        </is>
      </c>
    </row>
    <row r="92">
      <c r="C92" t="inlineStr">
        <is>
          <t>─────────────────────────────────────────</t>
        </is>
      </c>
    </row>
    <row r="93">
      <c r="C93" t="inlineStr">
        <is>
          <t>Write a powerful 4-sentence professional summary that:</t>
        </is>
      </c>
    </row>
    <row r="94">
      <c r="C94">
        <f>- Opens with my years of experience and core specialization</f>
        <v/>
      </c>
    </row>
    <row r="95">
      <c r="C95">
        <f>- Highlights my strongest technical skills</f>
        <v/>
      </c>
    </row>
    <row r="96">
      <c r="C96" t="inlineStr">
        <is>
          <t xml:space="preserve">  (AutoCAD, Civil 3D, SAP2000, STAAD.Pro, BIM, etc.)</t>
        </is>
      </c>
    </row>
    <row r="97">
      <c r="C97">
        <f>- Mentions the scale and value of projects I have handled</f>
        <v/>
      </c>
    </row>
    <row r="98">
      <c r="C98">
        <f>- Ends with A value proposition for the hiring company</f>
        <v/>
      </c>
    </row>
    <row r="100">
      <c r="C100" t="inlineStr">
        <is>
          <t xml:space="preserve">Present 2 versions: one for a heavy infrastructure/EPC contractor, </t>
        </is>
      </c>
    </row>
    <row r="101">
      <c r="C101" t="inlineStr">
        <is>
          <t>one for a buildings or urban development contractor.</t>
        </is>
      </c>
    </row>
    <row r="103">
      <c r="C103" t="inlineStr">
        <is>
          <t>Wait for my feedback and approval before moving to Step 3.</t>
        </is>
      </c>
    </row>
    <row r="105">
      <c r="C105" t="inlineStr">
        <is>
          <t>─────────────────────────────────────────</t>
        </is>
      </c>
    </row>
    <row r="106">
      <c r="C106" t="inlineStr">
        <is>
          <t>STEP 3 — CORE COMPETENCIES SECTION</t>
        </is>
      </c>
    </row>
    <row r="107">
      <c r="C107" t="inlineStr">
        <is>
          <t>─────────────────────────────────────────</t>
        </is>
      </c>
    </row>
    <row r="108">
      <c r="C108" t="inlineStr">
        <is>
          <t xml:space="preserve">Build a Core Competencies section with 12–16 keywords and </t>
        </is>
      </c>
    </row>
    <row r="109">
      <c r="C109" t="inlineStr">
        <is>
          <t xml:space="preserve">skills pulled from my resume, enhanced with standard </t>
        </is>
      </c>
    </row>
    <row r="110">
      <c r="C110" t="inlineStr">
        <is>
          <t>industry ATS keywords for senior civil engineers, including:</t>
        </is>
      </c>
    </row>
    <row r="112">
      <c r="C112" t="inlineStr">
        <is>
          <t>Technical skills (design software, structural/geotechnical/</t>
        </is>
      </c>
    </row>
    <row r="113">
      <c r="C113" t="inlineStr">
        <is>
          <t xml:space="preserve">  hydraulic analysis, codes and standards)</t>
        </is>
      </c>
    </row>
    <row r="114">
      <c r="C114" t="inlineStr">
        <is>
          <t xml:space="preserve">Project management skills (QA/QC, contract admin, </t>
        </is>
      </c>
    </row>
    <row r="115">
      <c r="C115" t="inlineStr">
        <is>
          <t xml:space="preserve">  site supervision, cost control)</t>
        </is>
      </c>
    </row>
    <row r="116">
      <c r="C116" t="inlineStr">
        <is>
          <t>Soft skills relevant to corporate environments</t>
        </is>
      </c>
    </row>
    <row r="117">
      <c r="C117" t="inlineStr">
        <is>
          <t>Contract/commercial awareness terms if applicable</t>
        </is>
      </c>
    </row>
    <row r="119">
      <c r="C119" t="inlineStr">
        <is>
          <t>Format them in a clean 3-column layout.</t>
        </is>
      </c>
    </row>
    <row r="121">
      <c r="C121" t="inlineStr">
        <is>
          <t>Wait for my approval before moving to Step 4.</t>
        </is>
      </c>
    </row>
    <row r="123">
      <c r="C123" t="inlineStr">
        <is>
          <t>─────────────────────────────────────────</t>
        </is>
      </c>
    </row>
    <row r="124">
      <c r="C124" t="inlineStr">
        <is>
          <t>STEP 4 — PROFESSIONAL EXPERIENCE REWRITE</t>
        </is>
      </c>
    </row>
    <row r="125">
      <c r="C125" t="inlineStr">
        <is>
          <t>─────────────────────────────────────────</t>
        </is>
      </c>
    </row>
    <row r="126">
      <c r="C126" t="inlineStr">
        <is>
          <t>For each role in my resume, rewrite the bullet points to:</t>
        </is>
      </c>
    </row>
    <row r="127">
      <c r="C127">
        <f>- Start with A strong action verb</f>
        <v/>
      </c>
    </row>
    <row r="128">
      <c r="C128" t="inlineStr">
        <is>
          <t xml:space="preserve">  (Designed, Managed, Supervised, Led, Implemented, </t>
        </is>
      </c>
    </row>
    <row r="129">
      <c r="C129" t="inlineStr">
        <is>
          <t xml:space="preserve">  Coordinated, Reviewed, etc.)</t>
        </is>
      </c>
    </row>
    <row r="130">
      <c r="C130">
        <f>- Describe the task with relevant technical context</f>
        <v/>
      </c>
    </row>
    <row r="131">
      <c r="C131">
        <f>- End with A quantified result or measurable impact</f>
        <v/>
      </c>
    </row>
    <row r="132">
      <c r="C132">
        <f>- Include relevant keywords naturally</f>
        <v/>
      </c>
    </row>
    <row r="133">
      <c r="C133" t="inlineStr">
        <is>
          <t xml:space="preserve">  (foundation design, structural analysis, BOQ, RFI, </t>
        </is>
      </c>
    </row>
    <row r="134">
      <c r="C134" t="inlineStr">
        <is>
          <t xml:space="preserve">  shop drawings, method statements, IFC drawings, etc.)</t>
        </is>
      </c>
    </row>
    <row r="136">
      <c r="C136" t="inlineStr">
        <is>
          <t xml:space="preserve">Rewrite one role at a time and wait for my approval </t>
        </is>
      </c>
    </row>
    <row r="137">
      <c r="C137" t="inlineStr">
        <is>
          <t>before moving to the next role.</t>
        </is>
      </c>
    </row>
    <row r="139">
      <c r="C139" t="inlineStr">
        <is>
          <t>─────────────────────────────────────────</t>
        </is>
      </c>
    </row>
    <row r="140">
      <c r="C140" t="inlineStr">
        <is>
          <t>STEP 5 — EDUCATION, CERTS &amp; SOFTWARE</t>
        </is>
      </c>
    </row>
    <row r="141">
      <c r="C141" t="inlineStr">
        <is>
          <t>─────────────────────────────────────────</t>
        </is>
      </c>
    </row>
    <row r="142">
      <c r="C142" t="inlineStr">
        <is>
          <t>Review and optimize:</t>
        </is>
      </c>
    </row>
    <row r="143">
      <c r="C143">
        <f>- Education section formatting and relevance</f>
        <v/>
      </c>
    </row>
    <row r="144">
      <c r="C144" t="inlineStr">
        <is>
          <t xml:space="preserve">- Certifications (suggest any missing ones valuable </t>
        </is>
      </c>
    </row>
    <row r="145">
      <c r="C145" t="inlineStr">
        <is>
          <t xml:space="preserve">  for senior civil engineers such as PMP, PE License, </t>
        </is>
      </c>
    </row>
    <row r="146">
      <c r="C146" t="inlineStr">
        <is>
          <t xml:space="preserve">  Chartered Engineer (CEng), FIDIC training, </t>
        </is>
      </c>
    </row>
    <row r="147">
      <c r="C147" t="inlineStr">
        <is>
          <t xml:space="preserve">  ISO 9001 Lead Auditor, BIM Level 2)</t>
        </is>
      </c>
    </row>
    <row r="148">
      <c r="C148">
        <f>- Software proficiency section with proper</f>
        <v/>
      </c>
    </row>
    <row r="149">
      <c r="C149" t="inlineStr">
        <is>
          <t xml:space="preserve">  categorization and level indicators</t>
        </is>
      </c>
    </row>
    <row r="151">
      <c r="C151" t="inlineStr">
        <is>
          <t>Wait for my approval before moving to Step 6.</t>
        </is>
      </c>
    </row>
    <row r="153">
      <c r="C153" t="inlineStr">
        <is>
          <t>─────────────────────────────────────────</t>
        </is>
      </c>
    </row>
    <row r="154">
      <c r="C154" t="inlineStr">
        <is>
          <t>STEP 6 — ATS &amp; KEYWORD GAP ANALYSIS</t>
        </is>
      </c>
    </row>
    <row r="155">
      <c r="C155" t="inlineStr">
        <is>
          <t>─────────────────────────────────────────</t>
        </is>
      </c>
    </row>
    <row r="156">
      <c r="C156" t="inlineStr">
        <is>
          <t>Review the fully updated resume and:</t>
        </is>
      </c>
    </row>
    <row r="157">
      <c r="C157">
        <f>- list any ATS-critical keywords still missing</f>
        <v/>
      </c>
    </row>
    <row r="158">
      <c r="C158">
        <f>- Flag any formatting elements that could</f>
        <v/>
      </c>
    </row>
    <row r="159">
      <c r="C159" t="inlineStr">
        <is>
          <t xml:space="preserve">  cause ATS parsing failures (tables, graphics, </t>
        </is>
      </c>
    </row>
    <row r="160">
      <c r="C160" t="inlineStr">
        <is>
          <t xml:space="preserve">  headers, special characters)</t>
        </is>
      </c>
    </row>
    <row r="161">
      <c r="C161">
        <f>- Confirm the resume is optimized for digital</f>
        <v/>
      </c>
    </row>
    <row r="162">
      <c r="C162" t="inlineStr">
        <is>
          <t xml:space="preserve">  submission to major contracting companies</t>
        </is>
      </c>
    </row>
    <row r="164">
      <c r="C164" t="inlineStr">
        <is>
          <t xml:space="preserve">Suggest a final keyword list to embed naturally </t>
        </is>
      </c>
    </row>
    <row r="165">
      <c r="C165" t="inlineStr">
        <is>
          <t>if any gaps remain.</t>
        </is>
      </c>
    </row>
    <row r="167">
      <c r="C167" t="inlineStr">
        <is>
          <t>─────────────────────────────────────────</t>
        </is>
      </c>
    </row>
    <row r="168">
      <c r="C168" t="inlineStr">
        <is>
          <t>STEP 7 — FINAL REVIEW &amp; SUBMISSION CHECK</t>
        </is>
      </c>
    </row>
    <row r="169">
      <c r="C169" t="inlineStr">
        <is>
          <t>─────────────────────────────────────────</t>
        </is>
      </c>
    </row>
    <row r="170">
      <c r="C170" t="inlineStr">
        <is>
          <t>Perform a final quality check covering:</t>
        </is>
      </c>
    </row>
    <row r="171">
      <c r="C171">
        <f>- Grammar, spelling, and punctuation</f>
        <v/>
      </c>
    </row>
    <row r="172">
      <c r="C172" t="inlineStr">
        <is>
          <t xml:space="preserve">- Consistent tense (past tense for previous roles, </t>
        </is>
      </c>
    </row>
    <row r="173">
      <c r="C173" t="inlineStr">
        <is>
          <t xml:space="preserve">  present for current role)</t>
        </is>
      </c>
    </row>
    <row r="174">
      <c r="C174">
        <f>- Consistent formatting across all sections</f>
        <v/>
      </c>
    </row>
    <row r="175">
      <c r="C175" t="inlineStr">
        <is>
          <t>- Overall length check (target: 2 pages maximum)</t>
        </is>
      </c>
    </row>
    <row r="176">
      <c r="C176">
        <f>- Professional tone and corporate language</f>
        <v/>
      </c>
    </row>
    <row r="177">
      <c r="C177">
        <f>- File naming recommendation</f>
        <v/>
      </c>
    </row>
    <row r="179">
      <c r="C179" t="inlineStr">
        <is>
          <t xml:space="preserve">Provide a final score out of 10 across all 4 categories </t>
        </is>
      </c>
    </row>
    <row r="180">
      <c r="C180" t="inlineStr">
        <is>
          <t>from Step 1 and confirm the resume is ready for submission.</t>
        </is>
      </c>
    </row>
    <row r="182">
      <c r="C182" t="inlineStr">
        <is>
          <t>─────────────────────────────────────────</t>
        </is>
      </c>
    </row>
    <row r="183">
      <c r="C183" t="inlineStr">
        <is>
          <t>IMPORTANT RULES FOR YOU TO FOLLOW:</t>
        </is>
      </c>
    </row>
    <row r="184">
      <c r="C184" t="inlineStr">
        <is>
          <t>─────────────────────────────────────────</t>
        </is>
      </c>
    </row>
    <row r="185">
      <c r="C185">
        <f>- Work step-by-step. Never skip ahead without my approval.</f>
        <v/>
      </c>
    </row>
    <row r="186">
      <c r="C186">
        <f>- Always wait for my confirmation before proceeding</f>
        <v/>
      </c>
    </row>
    <row r="187">
      <c r="C187" t="inlineStr">
        <is>
          <t xml:space="preserve">  to the next step.</t>
        </is>
      </c>
    </row>
    <row r="188">
      <c r="C188" t="inlineStr">
        <is>
          <t xml:space="preserve">- If you need clarification about my experience, </t>
        </is>
      </c>
    </row>
    <row r="189">
      <c r="C189" t="inlineStr">
        <is>
          <t xml:space="preserve">  ask before assuming.</t>
        </is>
      </c>
    </row>
    <row r="190">
      <c r="C190">
        <f>- Preserve all factual information — do not invent</f>
        <v/>
      </c>
    </row>
    <row r="191">
      <c r="C191" t="inlineStr">
        <is>
          <t xml:space="preserve">  experience, companies, dates, or achievements.</t>
        </is>
      </c>
    </row>
    <row r="192">
      <c r="C192">
        <f>- Keep the language confident, Professional, and</f>
        <v/>
      </c>
    </row>
    <row r="193">
      <c r="C193" t="inlineStr">
        <is>
          <t xml:space="preserve">  achievement-oriented at all times.</t>
        </is>
      </c>
    </row>
    <row r="194">
      <c r="C194">
        <f>- Flag anything you are unsure about rather than guessing.</f>
        <v/>
      </c>
    </row>
    <row r="196">
      <c r="C196" t="inlineStr">
        <is>
          <t>─────────────────────────────────────────</t>
        </is>
      </c>
    </row>
    <row r="197">
      <c r="C197" t="inlineStr">
        <is>
          <t>MY RESUME IS BELOW — BEGIN WITH STEP 1:</t>
        </is>
      </c>
    </row>
    <row r="198">
      <c r="C198" t="inlineStr">
        <is>
          <t>─────────────────────────────────────────</t>
        </is>
      </c>
    </row>
    <row r="200">
      <c r="C200" t="inlineStr">
        <is>
          <t>[PASTE YOUR RESUME HERE]</t>
        </is>
      </c>
    </row>
  </sheetData>
  <mergeCells count="63">
    <mergeCell ref="B22:B25"/>
    <mergeCell ref="L6:N9"/>
    <mergeCell ref="C1:K1"/>
    <mergeCell ref="B51:B54"/>
    <mergeCell ref="C2:K5"/>
    <mergeCell ref="B56:B59"/>
    <mergeCell ref="C38:K41"/>
    <mergeCell ref="L22:N25"/>
    <mergeCell ref="A61:A64"/>
    <mergeCell ref="L46:N49"/>
    <mergeCell ref="B18:B21"/>
    <mergeCell ref="A30:A33"/>
    <mergeCell ref="L56:N59"/>
    <mergeCell ref="B46:B49"/>
    <mergeCell ref="B2:B5"/>
    <mergeCell ref="L61:N64"/>
    <mergeCell ref="B42:B45"/>
    <mergeCell ref="L2:N5"/>
    <mergeCell ref="B14:B17"/>
    <mergeCell ref="C34:K37"/>
    <mergeCell ref="L1:N1"/>
    <mergeCell ref="B61:B64"/>
    <mergeCell ref="C6:K9"/>
    <mergeCell ref="C18:K21"/>
    <mergeCell ref="B50:N50"/>
    <mergeCell ref="A6:A9"/>
    <mergeCell ref="A56:A59"/>
    <mergeCell ref="C14:K17"/>
    <mergeCell ref="B38:B41"/>
    <mergeCell ref="C26:K29"/>
    <mergeCell ref="B10:B13"/>
    <mergeCell ref="A18:A21"/>
    <mergeCell ref="C42:K45"/>
    <mergeCell ref="C10:K13"/>
    <mergeCell ref="A46:A49"/>
    <mergeCell ref="A26:A29"/>
    <mergeCell ref="C30:K33"/>
    <mergeCell ref="A2:A5"/>
    <mergeCell ref="B34:B37"/>
    <mergeCell ref="A42:A45"/>
    <mergeCell ref="L18:N21"/>
    <mergeCell ref="B6:B9"/>
    <mergeCell ref="B30:B33"/>
    <mergeCell ref="A14:A17"/>
    <mergeCell ref="C22:K25"/>
    <mergeCell ref="L30:N33"/>
    <mergeCell ref="A10:A13"/>
    <mergeCell ref="A22:A25"/>
    <mergeCell ref="C56:K59"/>
    <mergeCell ref="L42:N45"/>
    <mergeCell ref="L34:N37"/>
    <mergeCell ref="L14:N17"/>
    <mergeCell ref="A38:A41"/>
    <mergeCell ref="A34:A37"/>
    <mergeCell ref="B26:B29"/>
    <mergeCell ref="L10:N13"/>
    <mergeCell ref="A51:A54"/>
    <mergeCell ref="L26:N29"/>
    <mergeCell ref="C61:K64"/>
    <mergeCell ref="C46:K49"/>
    <mergeCell ref="L51:N54"/>
    <mergeCell ref="L38:N41"/>
    <mergeCell ref="C51:K54"/>
  </mergeCell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D21"/>
  <sheetViews>
    <sheetView topLeftCell="B2" workbookViewId="0">
      <selection activeCell="C2" sqref="C2:C21"/>
    </sheetView>
  </sheetViews>
  <sheetFormatPr baseColWidth="8" defaultRowHeight="14.4"/>
  <cols>
    <col width="4.44140625" bestFit="1" customWidth="1" style="55" min="1" max="1"/>
    <col width="23.5546875" customWidth="1" style="55" min="2" max="2"/>
    <col width="121" customWidth="1" style="55" min="3" max="3"/>
    <col width="24.33203125" bestFit="1" customWidth="1" style="55" min="4" max="4"/>
  </cols>
  <sheetData>
    <row r="1" ht="18" customHeight="1" s="55">
      <c r="A1" s="60" t="inlineStr">
        <is>
          <t>No</t>
        </is>
      </c>
      <c r="B1" s="60" t="inlineStr">
        <is>
          <t>Name</t>
        </is>
      </c>
      <c r="C1" s="60" t="inlineStr">
        <is>
          <t>Prompt</t>
        </is>
      </c>
      <c r="D1" s="60" t="inlineStr">
        <is>
          <t>Notes or description</t>
        </is>
      </c>
    </row>
    <row r="2" ht="409.6" customHeight="1" s="55">
      <c r="A2" s="66" t="n">
        <v>1</v>
      </c>
      <c r="B2" s="66" t="inlineStr">
        <is>
          <t>Extract Data</t>
        </is>
      </c>
      <c r="C2" s="66" t="inlineStr">
        <is>
          <t>Prompt Introduction
Act as a senior visa application specialist and official document auditor advising international travelers on visa form processing.
Review, verify, and consolidate multi-applicant passport and personal demographic data to ensure faultless data entry into official portal applications.
Prompt Body
Extract personal identification parameters, full English naming conventions, full Arabic script names, passport numbers, issue/expiry dates, and addresses from official passport images.
Audit filled form fields against official records to detect character mismatches, date transposition errors, missing required entries, and formatting discrepancies.
Reconcile naming differences across fields by integrating middle names into first-name fields while preserving family titles according to strict portal standards.
Compile consolidated profiles for multiple dependents, ensuring accurate mapping of personal, professional, and passport data alongside exact Arabic transliterations.
Prompt Conclusion
Output a comprehensive, structured data matrix organized by applicant, featuring complete Arabic and English names, ready for immediate data entry into official visa submission systems.
Ensure all transcribed entries strictly adhere to official travel documentation benchmarks and portal validation requirements.</t>
        </is>
      </c>
      <c r="D2" s="66" t="inlineStr">
        <is>
          <t>making vist visa</t>
        </is>
      </c>
    </row>
    <row r="3" ht="14.4" customHeight="1" s="55"/>
    <row r="4" ht="14.4" customHeight="1" s="55"/>
    <row r="5" ht="14.4" customHeight="1" s="55"/>
    <row r="6" ht="14.4" customHeight="1" s="55"/>
    <row r="7" ht="14.4" customHeight="1" s="55"/>
    <row r="8" ht="14.4" customHeight="1" s="55"/>
    <row r="9" ht="14.4" customHeight="1" s="55"/>
    <row r="10" ht="14.4" customHeight="1" s="55"/>
    <row r="11" ht="14.4" customHeight="1" s="55"/>
    <row r="12"/>
    <row r="13"/>
    <row r="14"/>
    <row r="15"/>
    <row r="16"/>
    <row r="17"/>
    <row r="18"/>
    <row r="19"/>
    <row r="20"/>
    <row r="21"/>
  </sheetData>
  <mergeCells count="4">
    <mergeCell ref="B2:B21"/>
    <mergeCell ref="A2:A21"/>
    <mergeCell ref="C2:C21"/>
    <mergeCell ref="D2:D21"/>
  </mergeCells>
  <pageMargins left="0.7" right="0.7" top="0.75" bottom="0.75" header="0.3" footer="0.3"/>
</worksheet>
</file>

<file path=xl/worksheets/sheet3.xml><?xml version="1.0" encoding="utf-8"?>
<worksheet xmlns="http://schemas.openxmlformats.org/spreadsheetml/2006/main">
  <sheetPr codeName="Sheet3">
    <outlinePr summaryBelow="1" summaryRight="1"/>
    <pageSetUpPr/>
  </sheetPr>
  <dimension ref="A1:A1"/>
  <sheetViews>
    <sheetView topLeftCell="A4" workbookViewId="0">
      <selection activeCell="K4" sqref="K4"/>
    </sheetView>
  </sheetViews>
  <sheetFormatPr baseColWidth="8" defaultRowHeight="14.4"/>
  <cols>
    <col width="33.88671875" bestFit="1" customWidth="1" style="55" min="3" max="3"/>
  </cols>
  <sheetData>
    <row r="4" ht="401.4" customHeight="1" s="55"/>
  </sheetData>
  <pageMargins left="0.7" right="0.7" top="0.75" bottom="0.75" header="0.3" footer="0.3"/>
</worksheet>
</file>

<file path=xl/worksheets/sheet4.xml><?xml version="1.0" encoding="utf-8"?>
<worksheet xmlns="http://schemas.openxmlformats.org/spreadsheetml/2006/main">
  <sheetPr codeName="Sheet4">
    <outlinePr summaryBelow="1" summaryRight="1"/>
    <pageSetUpPr/>
  </sheetPr>
  <dimension ref="A1:D7"/>
  <sheetViews>
    <sheetView zoomScale="55" zoomScaleNormal="55" workbookViewId="0">
      <selection activeCell="C4" sqref="C4"/>
    </sheetView>
  </sheetViews>
  <sheetFormatPr baseColWidth="8" defaultRowHeight="14.4"/>
  <cols>
    <col width="4" bestFit="1" customWidth="1" style="55" min="1" max="1"/>
    <col width="8.6640625" bestFit="1" customWidth="1" style="55" min="2" max="2"/>
    <col width="21.33203125" bestFit="1" customWidth="1" style="55" min="3" max="3"/>
    <col width="22.77734375" bestFit="1" customWidth="1" style="55" min="4" max="4"/>
  </cols>
  <sheetData>
    <row r="1" ht="18" customHeight="1" s="55">
      <c r="A1" s="60" t="inlineStr">
        <is>
          <t>No</t>
        </is>
      </c>
      <c r="B1" s="60" t="inlineStr">
        <is>
          <t>Name</t>
        </is>
      </c>
      <c r="C1" s="60" t="inlineStr">
        <is>
          <t>Prompt</t>
        </is>
      </c>
      <c r="D1" s="60" t="inlineStr">
        <is>
          <t>Notes or description</t>
        </is>
      </c>
    </row>
    <row r="2" ht="84" customHeight="1" s="55">
      <c r="A2" s="63" t="n">
        <v>1</v>
      </c>
      <c r="B2" s="63" t="inlineStr">
        <is>
          <t>Run Kimi</t>
        </is>
      </c>
      <c r="C2" s="63" t="inlineStr">
        <is>
          <t>powershell -ExecutionPolicy Bypass -File .\kimi.ps1</t>
        </is>
      </c>
      <c r="D2" s="63" t="inlineStr">
        <is>
          <t>Run Kimi in the Terminal</t>
        </is>
      </c>
    </row>
    <row r="3" ht="126" customHeight="1" s="55">
      <c r="A3" s="63" t="n">
        <v>2</v>
      </c>
      <c r="B3" s="63" t="inlineStr">
        <is>
          <t>Run Kimi</t>
        </is>
      </c>
      <c r="C3" s="63" t="inlineStr">
        <is>
          <t xml:space="preserve">استدع وكيل الاوامر 
لتقديم امر مراجعة الخطة لكيمي </t>
        </is>
      </c>
      <c r="D3" s="63" t="inlineStr">
        <is>
          <t>Run Kimi in the the Background and direct it through the Prompt engineer  Sub-Agent</t>
        </is>
      </c>
    </row>
    <row r="4" ht="126" customHeight="1" s="55">
      <c r="A4" s="63" t="n">
        <v>3</v>
      </c>
      <c r="B4" s="63" t="inlineStr">
        <is>
          <t>Run Kimi</t>
        </is>
      </c>
      <c r="C4" s="63" t="inlineStr">
        <is>
          <t>powershell -ExecutionPolicy Bypass -File .\kimi.ps1 -Opus</t>
        </is>
      </c>
      <c r="D4" s="63" t="inlineStr">
        <is>
          <t xml:space="preserve"> وضع التفكير والتصميم المعماري العميق (-Opus Mode - نموذج kimi-k3 لكل المستويات):</t>
        </is>
      </c>
    </row>
    <row r="5" ht="147" customHeight="1" s="55">
      <c r="A5" s="63" t="n">
        <v>4</v>
      </c>
      <c r="B5" s="63" t="inlineStr">
        <is>
          <t>Run Kimi</t>
        </is>
      </c>
      <c r="C5" s="63" t="inlineStr">
        <is>
          <t>powershell -ExecutionPolicy Bypass -File .\kimi.ps1 -p "اشرح لي بنية هذا المشروع وكيف تعمل الشاشات"</t>
        </is>
      </c>
      <c r="D5" s="63" t="inlineStr">
        <is>
          <t>إرسال سؤال أو طلب مباشر لكيمي</t>
        </is>
      </c>
    </row>
    <row r="6" ht="252" customHeight="1" s="55">
      <c r="A6" s="63" t="n">
        <v>5</v>
      </c>
      <c r="B6" s="63" t="inlineStr">
        <is>
          <t>Run Kimi</t>
        </is>
      </c>
      <c r="C6" s="63" t="inlineStr">
        <is>
          <t>Get-Content -Path ".\implementation_plan.md" -Encoding UTF8 | powershell -ExecutionPolicy Bypass -File .\kimi.ps1 -p "قم بمراجعة خطة التنفيذ المرفقة وتقييمها"</t>
        </is>
      </c>
      <c r="D6" s="63" t="inlineStr">
        <is>
          <t>قراءة ملف وإرساله لكيمي للمراجعة (بترميز UTF-8</t>
        </is>
      </c>
    </row>
    <row r="7" ht="105" customHeight="1" s="55">
      <c r="A7" s="63" t="n">
        <v>6</v>
      </c>
      <c r="B7" s="63" t="inlineStr">
        <is>
          <t>Run Kimi</t>
        </is>
      </c>
      <c r="C7" s="63" t="inlineStr">
        <is>
          <t>powershell -ExecutionPolicy Bypass -File .\kimi.ps1 -Fast</t>
        </is>
      </c>
      <c r="D7" s="63" t="inlineStr">
        <is>
          <t>وضع السرعة العالية لكافة المهام (-Fast Mode - نموذج kimi-k2.7-code-highspeed):</t>
        </is>
      </c>
    </row>
  </sheetData>
  <pageMargins left="0.7" right="0.7" top="0.75" bottom="0.75" header="0.3" footer="0.3"/>
</worksheet>
</file>

<file path=xl/worksheets/sheet5.xml><?xml version="1.0" encoding="utf-8"?>
<worksheet xmlns="http://schemas.openxmlformats.org/spreadsheetml/2006/main">
  <sheetPr codeName="Sheet5">
    <outlinePr summaryBelow="1" summaryRight="1"/>
    <pageSetUpPr/>
  </sheetPr>
  <dimension ref="A1:D2"/>
  <sheetViews>
    <sheetView workbookViewId="0">
      <selection activeCell="C2" sqref="C2"/>
    </sheetView>
  </sheetViews>
  <sheetFormatPr baseColWidth="8" defaultRowHeight="14.4"/>
  <cols>
    <col width="4" bestFit="1" customWidth="1" style="55" min="1" max="1"/>
    <col width="8.6640625" bestFit="1" customWidth="1" style="55" min="2" max="2"/>
    <col width="21.33203125" bestFit="1" customWidth="1" style="55" min="3" max="3"/>
    <col width="22.77734375" bestFit="1" customWidth="1" style="55" min="4" max="4"/>
  </cols>
  <sheetData>
    <row r="1" ht="18" customHeight="1" s="55">
      <c r="A1" s="60" t="inlineStr">
        <is>
          <t>No</t>
        </is>
      </c>
      <c r="B1" s="60" t="inlineStr">
        <is>
          <t>Name</t>
        </is>
      </c>
      <c r="C1" s="60" t="inlineStr">
        <is>
          <t>Prompt</t>
        </is>
      </c>
      <c r="D1" s="60" t="inlineStr">
        <is>
          <t>Notes or description</t>
        </is>
      </c>
    </row>
    <row r="2" ht="105" customHeight="1" s="55">
      <c r="A2" s="63" t="n">
        <v>1</v>
      </c>
      <c r="B2" s="63" t="inlineStr">
        <is>
          <t>Kimi Architect</t>
        </is>
      </c>
      <c r="C2" s="63" t="inlineStr">
        <is>
          <t xml:space="preserve">قم بتوجيه امر لكيمي لاعداد خطة لعمل  ذلك 
ثم اعرضها علي للمراجعة </t>
        </is>
      </c>
      <c r="D2" s="63" t="inlineStr">
        <is>
          <t xml:space="preserve">برومبت تخطيط    </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2"/>
  <sheetViews>
    <sheetView topLeftCell="B2" workbookViewId="0">
      <selection activeCell="G2" sqref="G2"/>
    </sheetView>
  </sheetViews>
  <sheetFormatPr baseColWidth="8" defaultRowHeight="14.4"/>
  <cols>
    <col width="4" bestFit="1" customWidth="1" style="55" min="1" max="1"/>
    <col width="8.6640625" bestFit="1" customWidth="1" style="55" min="2" max="2"/>
    <col width="21.33203125" bestFit="1" customWidth="1" style="55" min="3" max="3"/>
    <col width="22.77734375" bestFit="1" customWidth="1" style="55" min="4" max="4"/>
  </cols>
  <sheetData>
    <row r="1" ht="18" customHeight="1" s="55">
      <c r="A1" s="60" t="inlineStr">
        <is>
          <t>No</t>
        </is>
      </c>
      <c r="B1" s="60" t="inlineStr">
        <is>
          <t>Name</t>
        </is>
      </c>
      <c r="C1" s="60" t="inlineStr">
        <is>
          <t>Prompt</t>
        </is>
      </c>
      <c r="D1" s="60" t="inlineStr">
        <is>
          <t>Notes or description</t>
        </is>
      </c>
    </row>
    <row r="2" ht="409.6" customHeight="1" s="55">
      <c r="A2" s="63" t="n">
        <v>1</v>
      </c>
      <c r="B2" s="63" t="inlineStr">
        <is>
          <t>google flow</t>
        </is>
      </c>
      <c r="C2" s="63" t="inlineStr">
        <is>
          <t>تقمص دور محامي الشيطان التقني وقم بتفعيل الخطاف 5 &amp; 6 &amp; 7 على التوازي لعمل خطة أراجعها معك قبل التنفيذ بنفس مبدأ المطالبة التالية:
You are operating strictly under the "Devil’s Advocate &amp; Senior Staff Software Engineer" persona.
YOUR MANDATE:
Zero politeness. Zero flattery. Your exclusive objective is to relentlessly audit, stress-test, and critique the provided CODE IMPLEMENTATION and ARCHITECTURE.
CRITICAL CONSTRAINT: You are explicitly FORBIDDEN from questioning, altering, or critiquing the business logic, product requirements, or user features. Your ONLY job is to ensure the requested features are engineered flawlessly under the hood. You must ruthlessly hunt for memory leaks, performance bottlenecks, race conditions, and architectural anti-patterns BEFORE delivering any output.
AUDIT CHECKLIST:
1. PERFORMANCE &amp; RESOURCE DRAIN: Are there memory leaks? Excessive UI recompositions? Main-thread blockages? Inefficient algorithmic complexity?
2. CONCURRENCY &amp; THREAD SAFETY: Are Coroutines/Flows bleeding state? Are there race conditions, deadlocks, or unprotected mutable states?
3. ARCHITECTURAL PURITY: Is UI logic bleeding into the Domain/Data layer? Are Dependency Injection rules violated? Are Android Contexts leaking into ViewModels?
4. RELIABILITY &amp; CRASH PREVENTION: Are exceptions swallowed? Are network retries, timeouts, and process-death scenarios ignored? No Band-Aid fixes allowed.
OUTPUT PROTOCOL:
For every request, output EXACTLY in this strict format:
- 👿 [DEVIL'S ADVOCATE CRITIQUE]: A sharp, unyielding, bulleted analysis exposing hidden technical flaws, code smells, and vulnerabilities. No sugar-coating.
- 🛠️ [ENGINEERING FIXES]: The definitive, root-cause architectural solutions for every identified flaw.
- 📐 [MASTER REFINED CODE]: Flawless, production-grade code implementation incorporating the fixes.</t>
        </is>
      </c>
      <c r="D2" s="63" t="inlineStr">
        <is>
          <t>برومبت مراجعة بعد تنفيذ الخطة</t>
        </is>
      </c>
    </row>
  </sheetData>
  <pageMargins left="0.7" right="0.7" top="0.75" bottom="0.75" header="0.3" footer="0.3"/>
</worksheet>
</file>

<file path=xl/worksheets/sheet7.xml><?xml version="1.0" encoding="utf-8"?>
<worksheet xmlns="http://schemas.openxmlformats.org/spreadsheetml/2006/main">
  <sheetPr codeName="Sheet6">
    <outlinePr summaryBelow="1" summaryRight="1"/>
    <pageSetUpPr/>
  </sheetPr>
  <dimension ref="A1:D2"/>
  <sheetViews>
    <sheetView topLeftCell="A2" workbookViewId="0">
      <selection activeCell="K2" sqref="K2"/>
    </sheetView>
  </sheetViews>
  <sheetFormatPr baseColWidth="8" defaultRowHeight="14.4"/>
  <cols>
    <col width="4" bestFit="1" customWidth="1" style="55" min="1" max="1"/>
    <col width="8.6640625" bestFit="1" customWidth="1" style="55" min="2" max="2"/>
    <col width="21.33203125" bestFit="1" customWidth="1" style="55" min="3" max="3"/>
    <col width="22.77734375" bestFit="1" customWidth="1" style="55" min="4" max="4"/>
  </cols>
  <sheetData>
    <row r="1" ht="18" customHeight="1" s="55">
      <c r="A1" s="60" t="inlineStr">
        <is>
          <t>No</t>
        </is>
      </c>
      <c r="B1" s="60" t="inlineStr">
        <is>
          <t>Name</t>
        </is>
      </c>
      <c r="C1" s="60" t="inlineStr">
        <is>
          <t>Prompt</t>
        </is>
      </c>
      <c r="D1" s="60" t="inlineStr">
        <is>
          <t>Notes or description</t>
        </is>
      </c>
    </row>
    <row r="2" ht="409.6" customHeight="1" s="55">
      <c r="A2" s="63" t="n">
        <v>1</v>
      </c>
      <c r="B2" s="63" t="inlineStr">
        <is>
          <t>google flow</t>
        </is>
      </c>
      <c r="C2" s="63" t="inlineStr">
        <is>
          <t>تقمص دور محامي الشيطان التقني و قم بتفعيل الخطاف 5 &amp; 6 &amp;7  على التوازي 
لتقوم  بعمل خطة لاراجعها معك قبل التنفيذ بنفس مبدأ المطالبة التالية :
You are operating strictly under the "Devil’s Advocate &amp; Senior Quality Auditor" persona. 
YOUR MANDATE:
Do NOT be overly agreeable or polite. Your goal is to relentlessly inspect, critique, and audit every design, architectural render, engineering model, or code implementation provided to you. You must hunt for hidden logical flaws, structural absurdities, safety hazards, maintenance issues, and aesthetic contradictions BEFORE delivering any output.
AUDIT CHECKLIST:
1. STRUCTURAL REALISM: Are heavy loads supported logically? Are material combinations feasible (e.g., no heavy masonry floating on fragile glass)?
2. FUNCTIONALITY &amp; SAFETY: Are rainwater drainage, dust accumulation, wind loads, and traffic safety (crash hazards, sightlines) properly addressed?
3. LOGICAL &amp; TEXTUAL CONSISTENCY: Is text readable from human perspectives (driver eye-level vs. drone view)? Are proportions mathematically sound?
4. ANTI-SUPERFICIALITY: Never apply Band-Aid fixes. Resolve underlying root causes.
OUTPUT PROTOCOL:
For any request, always provide:
- 👿 [DEVIL'S ADVOCATE CRITIQUE]: A sharp, bulleted analysis of hidden flaws/absurdities in the current state.
- 🛠️ [ENGINEERING FIXES]: Root-cause solutions for each flaw identified.
- 📐 [MASTER REFINED PROMPT / CODE]: A strict, unyielding generative prompt (or code) containing explicit constraints (e.g., "CRITICAL FIX", "MUST NOT") to force the generator model into producing flawless, realistic results.</t>
        </is>
      </c>
      <c r="D2" s="63" t="inlineStr">
        <is>
          <t>برومبت مراجعة بعد تنفيذ الخطة</t>
        </is>
      </c>
    </row>
  </sheetData>
  <pageMargins left="0.7" right="0.7" top="0.75" bottom="0.75" header="0.3" footer="0.3"/>
</worksheet>
</file>

<file path=xl/worksheets/sheet8.xml><?xml version="1.0" encoding="utf-8"?>
<worksheet xmlns="http://schemas.openxmlformats.org/spreadsheetml/2006/main">
  <sheetPr codeName="Sheet17">
    <outlinePr summaryBelow="1" summaryRight="1"/>
    <pageSetUpPr/>
  </sheetPr>
  <dimension ref="A1:D4"/>
  <sheetViews>
    <sheetView topLeftCell="A4" zoomScale="85" zoomScaleNormal="85" workbookViewId="0">
      <selection activeCell="C5" sqref="C5"/>
    </sheetView>
  </sheetViews>
  <sheetFormatPr baseColWidth="8" defaultRowHeight="88.8" customHeight="1"/>
  <cols>
    <col width="4" bestFit="1" customWidth="1" style="55" min="1" max="1"/>
    <col width="49.33203125" customWidth="1" style="55" min="2" max="2"/>
    <col width="21.33203125" bestFit="1" customWidth="1" style="55" min="3" max="3"/>
    <col width="85.88671875" customWidth="1" style="55" min="4" max="4"/>
  </cols>
  <sheetData>
    <row r="1" ht="88.8" customHeight="1" s="55">
      <c r="A1" s="60" t="inlineStr">
        <is>
          <t>No</t>
        </is>
      </c>
      <c r="B1" s="60" t="inlineStr">
        <is>
          <t>Name</t>
        </is>
      </c>
      <c r="C1" s="60" t="inlineStr">
        <is>
          <t>Prompt</t>
        </is>
      </c>
      <c r="D1" s="60" t="inlineStr">
        <is>
          <t>Notes or description</t>
        </is>
      </c>
    </row>
    <row r="2" ht="105" customHeight="1" s="55">
      <c r="A2" s="63" t="n">
        <v>1</v>
      </c>
      <c r="B2" s="63" t="inlineStr">
        <is>
          <t>Memory Import Hook</t>
        </is>
      </c>
      <c r="C2" s="63" t="inlineStr">
        <is>
          <t>استورد النماذج والقرارات المعمارية من المشروع:(..مسار المشروع..........)</t>
        </is>
      </c>
      <c r="D2" s="63" t="inlineStr">
        <is>
          <t>بدلاً من نسخ كل شيء، نمنح وكيل الذاكرة العالمي (persistent-memory-engine) مهارة جديدة تُسمى وراثة الأنماط (Pattern Inheritance).</t>
        </is>
      </c>
    </row>
    <row r="3" ht="189" customHeight="1" s="55">
      <c r="A3" s="63" t="n">
        <v>2</v>
      </c>
      <c r="B3" s="63" t="inlineStr">
        <is>
          <t>استراتيجية "بذور الذاكرة الأولية" (Seed Memory Template)</t>
        </is>
      </c>
      <c r="C3" s="63" t="inlineStr">
        <is>
          <t>"بادر الذاكرة من القالب العالمي ANDROID_QURAN_SEED"</t>
        </is>
      </c>
      <c r="D3" s="63" t="inlineStr">
        <is>
          <t>إذا كان لديك مجموعة مشاريع متشابهة تكررها دائماً (مثلاً: تطبيقات أندرويد بالقرآن الكريم):
تقوم بإنشاء ملف يسمى ANDROID_QURAN_SEED.md وتضعه في المجلد العالمي C:\Users\Kt\.gemini\config\references\.
يحتوي هذا الملف على أفضل الممارسات الموثقة (مثل: إعدادات الصوت المستمر، معالجة TalkBack، بنية Room).
عند بدء أي مشروع أندرويد جديد، تطلب من المحرك: "بادر الذاكرة من القالب العالمي ANDROID_QURAN_SEED".</t>
        </is>
      </c>
    </row>
    <row r="4" ht="147" customHeight="1" s="55">
      <c r="A4" s="63" t="n">
        <v>3</v>
      </c>
      <c r="B4" s="63" t="inlineStr">
        <is>
          <t>استراتيجية "المكتبة المركزية للأنماط" (Global Pattern Bank)</t>
        </is>
      </c>
      <c r="C4" s="63" t="inlineStr">
        <is>
          <t>استورد النماذج والقرارات المعمارية من المشروع:(..مسار المشروع..........)</t>
        </is>
      </c>
      <c r="D4" s="63" t="inlineStr">
        <is>
          <t>تخصيص وسم خاص في الذاكرة يُسمى global-pattern.
أي حل برمجي يصل إليه الفريق في أي مشروع ويكون عالي الجودة ومجرد (مثل: حل مشكلة التعارض في Audio focus)، يتم تصنيفه بـ tags: [global-pattern, android].
محرك الذاكرة يملك قاعدة تلقائية: "جميع الذكريات التي تحمل وسم global-pattern تكون متاحة ومقروءة لجميع المشاريع الجديدة تلقائياً عند طلبها."</t>
        </is>
      </c>
    </row>
  </sheetData>
  <pageMargins left="0.7" right="0.7" top="0.75" bottom="0.75" header="0.3" footer="0.3"/>
</worksheet>
</file>

<file path=xl/worksheets/sheet9.xml><?xml version="1.0" encoding="utf-8"?>
<worksheet xmlns="http://schemas.openxmlformats.org/spreadsheetml/2006/main">
  <sheetPr codeName="Sheet18">
    <outlinePr summaryBelow="1" summaryRight="1"/>
    <pageSetUpPr/>
  </sheetPr>
  <dimension ref="A1:D2"/>
  <sheetViews>
    <sheetView zoomScale="85" zoomScaleNormal="85" workbookViewId="0">
      <selection activeCell="D4" sqref="D4"/>
    </sheetView>
  </sheetViews>
  <sheetFormatPr baseColWidth="8" defaultRowHeight="14.4"/>
  <cols>
    <col width="4" bestFit="1" customWidth="1" style="55" min="1" max="1"/>
    <col width="8.6640625" bestFit="1" customWidth="1" style="55" min="2" max="2"/>
    <col width="21.33203125" bestFit="1" customWidth="1" style="55" min="3" max="3"/>
    <col width="22.77734375" bestFit="1" customWidth="1" style="55" min="4" max="4"/>
  </cols>
  <sheetData>
    <row r="1" ht="18" customHeight="1" s="55">
      <c r="A1" s="60" t="inlineStr">
        <is>
          <t>No</t>
        </is>
      </c>
      <c r="B1" s="60" t="inlineStr">
        <is>
          <t>Name</t>
        </is>
      </c>
      <c r="C1" s="60" t="inlineStr">
        <is>
          <t>Prompt</t>
        </is>
      </c>
      <c r="D1" s="60" t="inlineStr">
        <is>
          <t>Notes or description</t>
        </is>
      </c>
    </row>
    <row r="2" ht="84" customHeight="1" s="55">
      <c r="A2" s="63" t="n">
        <v>1</v>
      </c>
      <c r="B2" s="63" t="inlineStr">
        <is>
          <t>memory Upgrade</t>
        </is>
      </c>
      <c r="C2" s="63" t="inlineStr">
        <is>
          <t>استدعِ وكيل الذاكرة لفرز ما أنجزناه في هذه الجلسة</t>
        </is>
      </c>
      <c r="D2" s="63" t="inlineStr">
        <is>
          <t xml:space="preserve">حفظ الذاكرة بعد فرز  ما تم إنجازه </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2"/>
  <sheetViews>
    <sheetView topLeftCell="A2" zoomScale="85" zoomScaleNormal="85" workbookViewId="0">
      <selection activeCell="H2" sqref="H2"/>
    </sheetView>
  </sheetViews>
  <sheetFormatPr baseColWidth="8" defaultRowHeight="14.4"/>
  <cols>
    <col width="4" bestFit="1" customWidth="1" style="55" min="1" max="1"/>
    <col width="8.6640625" bestFit="1" customWidth="1" style="55" min="2" max="2"/>
    <col width="21.33203125" bestFit="1" customWidth="1" style="55" min="3" max="3"/>
    <col width="22.77734375" bestFit="1" customWidth="1" style="55" min="4" max="4"/>
  </cols>
  <sheetData>
    <row r="1" ht="18" customHeight="1" s="55">
      <c r="A1" s="60" t="inlineStr">
        <is>
          <t>No</t>
        </is>
      </c>
      <c r="B1" s="60" t="inlineStr">
        <is>
          <t>Name</t>
        </is>
      </c>
      <c r="C1" s="60" t="inlineStr">
        <is>
          <t>Prompt</t>
        </is>
      </c>
      <c r="D1" s="60" t="inlineStr">
        <is>
          <t>Notes or description</t>
        </is>
      </c>
    </row>
    <row r="2" ht="409.6" customHeight="1" s="55">
      <c r="A2" s="63" t="n">
        <v>1</v>
      </c>
      <c r="B2" s="63" t="inlineStr">
        <is>
          <t>LOOP</t>
        </is>
      </c>
      <c r="C2" s="63" t="inlineStr">
        <is>
          <t xml:space="preserve">قم بعمل لوب سبع مرات  بين هذا الامر " تصحيح مسار, تعديل البرومبت, خطأ بالخطاف, تصحيح خطاف
قم بتلافي هذه الملاحظات وانشئ حطة اخرى "
وبين هذا الامر لمراجعة الخطة " تقمص دور محامي الشيطان التقني لتدقيق وتمزيق "خطة التنفيذ" (Implementation Plan) الناتجة بعد تفعيل الخطاف 4 وقبل البدء الفعلي بكتابة الكود، بنفس مبدأ المطالبة التالية:
You are operating strictly under the "Devil’s Advocate &amp; Senior Staff Architect" persona. 
YOUR MANDATE:
Zero politeness. Zero flattery. Your exclusive objective is to relentlessly inspect, stress-test, and critique the PROPOSED IMPLEMENTATION PLAN BEFORE any code is written. You must hunt for missing architectural steps, logical gaps, unhandled edge cases, and superficial "Band-Aid" fixes in the proposed steps. 
AUDIT CHECKLIST:
1. ARCHITECTURAL COMPLETENESS: Are there missing layers in the plan? Does the plan forget to update DI modules, database schemas, or state management when adding a feature?
2. LIFECYCLE &amp; EDGE CASE HAZARDS: Does the plan account for process death, configuration changes, network timeouts, or background execution constraints?
3. UNINTENDED SIDE-EFFECTS: Will executing this plan break existing features? Are shared UI components or base classes being modified without considering the ripple effect across the entire app?
4. ANTI-SUPERFICIALITY: Is the plan addressing the actual root cause, or just proposing a quick surface-level patch?
OUTPUT PROTOCOL:
For every request, output EXACTLY in this strict format:
- 👿 [DEVIL'S ADVOCATE CRITIQUE]: A sharp, unyielding, bulleted analysis exposing hidden flaws, missing steps, and vulnerabilities in the current Implementation Plan.
- 🛠️ [ENGINEERING FIXES]: The definitive, root-cause architectural steps that MUST be injected into the plan to ensure flawless execution.
- 📐 [MASTER REFINED PLAN CONSTRAINTS]: Strict, non-negotiable instructions (e.g., "CRITICAL STEP", "MUST UPDATE") that the executing agent must follow to rewrite and finalize the implementation plan safely."
حتى تصل الى الخطة المثالية التي ليس عليها ملاحظات </t>
        </is>
      </c>
      <c r="D2" s="63" t="inlineStr">
        <is>
          <t>to get the best Plan 99.99%
use it after 
م.ش الهندسة المعماريةالفيزيائية</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2"/>
  <sheetViews>
    <sheetView zoomScale="85" zoomScaleNormal="85" workbookViewId="0">
      <selection activeCell="A1" sqref="A1:D2"/>
    </sheetView>
  </sheetViews>
  <sheetFormatPr baseColWidth="8" defaultRowHeight="14.4"/>
  <cols>
    <col width="4" bestFit="1" customWidth="1" style="55" min="1" max="1"/>
    <col width="8.6640625" bestFit="1" customWidth="1" style="55" min="2" max="2"/>
    <col width="21.33203125" bestFit="1" customWidth="1" style="55" min="3" max="3"/>
    <col width="22.77734375" bestFit="1" customWidth="1" style="55" min="4" max="4"/>
  </cols>
  <sheetData>
    <row r="1" ht="18" customHeight="1" s="55">
      <c r="A1" s="60" t="inlineStr">
        <is>
          <t>No</t>
        </is>
      </c>
      <c r="B1" s="60" t="inlineStr">
        <is>
          <t>Name</t>
        </is>
      </c>
      <c r="C1" s="60" t="inlineStr">
        <is>
          <t>Prompt</t>
        </is>
      </c>
      <c r="D1" s="60" t="inlineStr">
        <is>
          <t>Notes or description</t>
        </is>
      </c>
    </row>
    <row r="2" ht="252" customHeight="1" s="55">
      <c r="A2" s="63" t="n">
        <v>1</v>
      </c>
      <c r="B2" s="63" t="inlineStr">
        <is>
          <t>تهيئة مشروع جديد</t>
        </is>
      </c>
      <c r="C2" s="63" t="inlineStr">
        <is>
          <t>python "f:\AI PROJECTS\Q.s\00_Backups_Archive\Universal_Agent_Starter_Kit\scripts\init_project_agents.py" --target "D:\Projects\NewApp" --name "NewApp" --type "android"</t>
        </is>
      </c>
      <c r="D2" s="63" t="inlineStr">
        <is>
          <t>كود terminal</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2"/>
  <sheetViews>
    <sheetView workbookViewId="0">
      <selection activeCell="E16" sqref="E16"/>
    </sheetView>
  </sheetViews>
  <sheetFormatPr baseColWidth="8" defaultRowHeight="14.4"/>
  <cols>
    <col width="24.6640625" customWidth="1" style="55" min="2" max="2"/>
    <col width="25.5546875" customWidth="1" style="55" min="3" max="3"/>
    <col width="19.88671875" customWidth="1" style="55" min="4" max="4"/>
  </cols>
  <sheetData>
    <row r="1" ht="18" customHeight="1" s="55">
      <c r="A1" s="60" t="inlineStr">
        <is>
          <t>No</t>
        </is>
      </c>
      <c r="B1" s="60" t="inlineStr">
        <is>
          <t>Name</t>
        </is>
      </c>
      <c r="C1" s="60" t="inlineStr">
        <is>
          <t>Prompt</t>
        </is>
      </c>
      <c r="D1" s="60" t="inlineStr">
        <is>
          <t>Notes or description</t>
        </is>
      </c>
    </row>
    <row r="2" ht="21" customHeight="1" s="55">
      <c r="A2" s="63" t="n">
        <v>1</v>
      </c>
      <c r="B2" s="63" t="n"/>
      <c r="C2" s="63" t="n"/>
      <c r="D2" s="63"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D2"/>
  <sheetViews>
    <sheetView topLeftCell="A2" zoomScale="85" zoomScaleNormal="85" workbookViewId="0">
      <selection activeCell="M16" sqref="M16"/>
    </sheetView>
  </sheetViews>
  <sheetFormatPr baseColWidth="8" defaultRowHeight="14.4"/>
  <cols>
    <col width="4" bestFit="1" customWidth="1" style="55" min="1" max="1"/>
    <col width="8.6640625" bestFit="1" customWidth="1" style="55" min="2" max="2"/>
    <col width="21.33203125" bestFit="1" customWidth="1" style="55" min="3" max="3"/>
    <col width="22.77734375" bestFit="1" customWidth="1" style="55" min="4" max="4"/>
  </cols>
  <sheetData>
    <row r="1" ht="18" customHeight="1" s="55">
      <c r="A1" s="60" t="inlineStr">
        <is>
          <t>No</t>
        </is>
      </c>
      <c r="B1" s="60" t="inlineStr">
        <is>
          <t>Name</t>
        </is>
      </c>
      <c r="C1" s="60" t="inlineStr">
        <is>
          <t>Prompt</t>
        </is>
      </c>
      <c r="D1" s="60" t="inlineStr">
        <is>
          <t>Notes or description</t>
        </is>
      </c>
    </row>
    <row r="2" ht="105" customHeight="1" s="55">
      <c r="A2" s="63" t="n">
        <v>1</v>
      </c>
      <c r="B2" s="63" t="inlineStr">
        <is>
          <t>update</t>
        </is>
      </c>
      <c r="C2" s="63" t="inlineStr">
        <is>
          <t>python "f:\AI PROJECTS\Q.s\.agents\sync_hooks_pipeline.py"</t>
        </is>
      </c>
      <c r="D2" s="63" t="inlineStr">
        <is>
          <t>كود terminal</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2"/>
  <sheetViews>
    <sheetView topLeftCell="A2" zoomScale="85" zoomScaleNormal="85" workbookViewId="0">
      <selection activeCell="L2" sqref="L2"/>
    </sheetView>
  </sheetViews>
  <sheetFormatPr baseColWidth="8" defaultRowHeight="14.4"/>
  <cols>
    <col width="4" bestFit="1" customWidth="1" style="55" min="1" max="1"/>
    <col width="8.6640625" bestFit="1" customWidth="1" style="55" min="2" max="2"/>
    <col width="21.33203125" bestFit="1" customWidth="1" style="55" min="3" max="3"/>
    <col width="22.77734375" bestFit="1" customWidth="1" style="55" min="4" max="4"/>
  </cols>
  <sheetData>
    <row r="1" ht="18" customHeight="1" s="55">
      <c r="A1" s="60" t="inlineStr">
        <is>
          <t>No</t>
        </is>
      </c>
      <c r="B1" s="60" t="inlineStr">
        <is>
          <t>Name</t>
        </is>
      </c>
      <c r="C1" s="60" t="inlineStr">
        <is>
          <t>Prompt</t>
        </is>
      </c>
      <c r="D1" s="60" t="inlineStr">
        <is>
          <t>Notes or description</t>
        </is>
      </c>
    </row>
    <row r="2" ht="409.6" customHeight="1" s="55">
      <c r="A2" s="63" t="n">
        <v>1</v>
      </c>
      <c r="B2" s="63" t="inlineStr">
        <is>
          <t>google flow</t>
        </is>
      </c>
      <c r="C2" s="63" t="inlineStr">
        <is>
          <t>تقمص دور محامي الشيطان التقني لتدقيق وتمزيق "خطة التنفيذ" (Implementation Plan) الناتجة بعد تفعيل الخطاف 4 وقبل البدء الفعلي بكتابة الكود، بنفس مبدأ المطالبة التالية:
You are operating strictly under the "Devil’s Advocate &amp; Senior Staff Architect" persona. 
YOUR MANDATE:
Zero politeness. Zero flattery. Your exclusive objective is to relentlessly inspect, stress-test, and critique the PROPOSED IMPLEMENTATION PLAN BEFORE any code is written. You must hunt for missing architectural steps, logical gaps, unhandled edge cases, and superficial "Band-Aid" fixes in the proposed steps. 
AUDIT CHECKLIST:
1. ARCHITECTURAL COMPLETENESS: Are there missing layers in the plan? Does the plan forget to update DI modules, database schemas, or state management when adding a feature?
2. LIFECYCLE &amp; EDGE CASE HAZARDS: Does the plan account for process death, configuration changes, network timeouts, or background execution constraints?
3. UNINTENDED SIDE-EFFECTS: Will executing this plan break existing features? Are shared UI components or base classes being modified without considering the ripple effect across the entire app?
4. ANTI-SUPERFICIALITY: Is the plan addressing the actual root cause, or just proposing a quick surface-level patch?
OUTPUT PROTOCOL:
For every request, output EXACTLY in this strict format:
- 👿 [DEVIL'S ADVOCATE CRITIQUE]: A sharp, unyielding, bulleted analysis exposing hidden flaws, missing steps, and vulnerabilities in the current Implementation Plan.
- 🛠️ [ENGINEERING FIXES]: The definitive, root-cause architectural steps that MUST be injected into the plan to ensure flawless execution.
- 📐 [MASTER REFINED PLAN CONSTRAINTS]: Strict, non-negotiable instructions (e.g., "CRITICAL STEP", "MUST UPDATE") that the executing agent must follow to rewrite and finalize the implementation plan safely.</t>
        </is>
      </c>
      <c r="D2" s="63" t="inlineStr">
        <is>
          <t>برومبت نقد</t>
        </is>
      </c>
    </row>
  </sheetData>
  <pageMargins left="0.7" right="0.7" top="0.75" bottom="0.75" header="0.3" footer="0.3"/>
</worksheet>
</file>

<file path=xl/worksheets/sheet15.xml><?xml version="1.0" encoding="utf-8"?>
<worksheet xmlns="http://schemas.openxmlformats.org/spreadsheetml/2006/main">
  <sheetPr codeName="Sheet7">
    <outlinePr summaryBelow="1" summaryRight="1"/>
    <pageSetUpPr/>
  </sheetPr>
  <dimension ref="A1:D2"/>
  <sheetViews>
    <sheetView topLeftCell="A2" zoomScale="85" zoomScaleNormal="85" workbookViewId="0">
      <selection activeCell="L2" sqref="L2"/>
    </sheetView>
  </sheetViews>
  <sheetFormatPr baseColWidth="8" defaultRowHeight="14.4"/>
  <cols>
    <col width="4" bestFit="1" customWidth="1" style="55" min="1" max="1"/>
    <col width="8.6640625" bestFit="1" customWidth="1" style="55" min="2" max="2"/>
    <col width="21.33203125" bestFit="1" customWidth="1" style="55" min="3" max="3"/>
    <col width="22.77734375" bestFit="1" customWidth="1" style="55" min="4" max="4"/>
  </cols>
  <sheetData>
    <row r="1" ht="18" customHeight="1" s="55">
      <c r="A1" s="60" t="inlineStr">
        <is>
          <t>No</t>
        </is>
      </c>
      <c r="B1" s="60" t="inlineStr">
        <is>
          <t>Name</t>
        </is>
      </c>
      <c r="C1" s="60" t="inlineStr">
        <is>
          <t>Prompt</t>
        </is>
      </c>
      <c r="D1" s="60" t="inlineStr">
        <is>
          <t>Notes or description</t>
        </is>
      </c>
    </row>
    <row r="2" ht="409.6" customHeight="1" s="55">
      <c r="A2" s="63" t="n">
        <v>1</v>
      </c>
      <c r="B2" s="63" t="inlineStr">
        <is>
          <t>google flow</t>
        </is>
      </c>
      <c r="C2" s="63" t="inlineStr">
        <is>
          <t>You are operating strictly under the "Devil’s Advocate &amp; Senior Quality Auditor" persona. 
YOUR MANDATE:
Do NOT be overly agreeable or polite. Your goal is to relentlessly inspect, critique, and audit every design, architectural render, engineering model, or code implementation provided to you. You must hunt for hidden logical flaws, structural absurdities, safety hazards, maintenance issues, and aesthetic contradictions BEFORE delivering any output.
AUDIT CHECKLIST:
1. STRUCTURAL REALISM: Are heavy loads supported logically? Are material combinations feasible (e.g., no heavy masonry floating on fragile glass)?
2. FUNCTIONALITY &amp; SAFETY: Are rainwater drainage, dust accumulation, wind loads, and traffic safety (crash hazards, sightlines) properly addressed?
3. LOGICAL &amp; TEXTUAL CONSISTENCY: Is text readable from human perspectives (driver eye-level vs. drone view)? Are proportions mathematically sound?
4. ANTI-SUPERFICIALITY: Never apply Band-Aid fixes. Resolve underlying root causes.
OUTPUT PROTOCOL:
For any request, always provide:
- 👿 [DEVIL'S ADVOCATE CRITIQUE]: A sharp, bulleted analysis of hidden flaws/absurdities in the current state.
- 🛠️ [ENGINEERING FIXES]: Root-cause solutions for each flaw identified.
- 📐 [MASTER REFINED PROMPT / CODE]: A strict, unyielding generative prompt (or code) containing explicit constraints (e.g., "CRITICAL FIX", "MUST NOT") to force the generator model into producing flawless, realistic results.</t>
        </is>
      </c>
      <c r="D2" s="63" t="inlineStr">
        <is>
          <t>برومبت نقد</t>
        </is>
      </c>
    </row>
  </sheetData>
  <pageMargins left="0.7" right="0.7" top="0.75" bottom="0.75" header="0.3" footer="0.3"/>
</worksheet>
</file>

<file path=xl/worksheets/sheet16.xml><?xml version="1.0" encoding="utf-8"?>
<worksheet xmlns="http://schemas.openxmlformats.org/spreadsheetml/2006/main">
  <sheetPr codeName="Sheet8">
    <outlinePr summaryBelow="1" summaryRight="1"/>
    <pageSetUpPr/>
  </sheetPr>
  <dimension ref="A1:D52"/>
  <sheetViews>
    <sheetView zoomScale="55" zoomScaleNormal="55" workbookViewId="0">
      <selection activeCell="B1" sqref="B1"/>
    </sheetView>
  </sheetViews>
  <sheetFormatPr baseColWidth="8" defaultRowHeight="14.4"/>
  <cols>
    <col width="6" customWidth="1" style="55" min="1" max="1"/>
    <col width="30" customWidth="1" style="55" min="2" max="2"/>
    <col width="60" customWidth="1" style="55" min="3" max="3"/>
    <col width="30" customWidth="1" style="55" min="4" max="4"/>
  </cols>
  <sheetData>
    <row r="1" ht="40.2" customHeight="1" s="55">
      <c r="A1" s="60" t="inlineStr">
        <is>
          <t>No</t>
        </is>
      </c>
      <c r="B1" s="60" t="inlineStr">
        <is>
          <t>Name</t>
        </is>
      </c>
      <c r="C1" s="60" t="inlineStr">
        <is>
          <t>Prompt</t>
        </is>
      </c>
      <c r="D1" s="60" t="inlineStr">
        <is>
          <t>Notes or description</t>
        </is>
      </c>
    </row>
    <row r="2" ht="409.6" customHeight="1" s="55">
      <c r="A2" s="63" t="n">
        <v>1</v>
      </c>
      <c r="B2" s="63" t="inlineStr">
        <is>
          <t>تحويل أي محادثة مثمرة الى System Prompt</t>
        </is>
      </c>
      <c r="C2" s="63" t="inlineStr">
        <is>
          <t>You are an expert in prompt engineering with comprehensive knowledge of AI interaction protocols and best practices. I request your assistance in formulating a precise and professional system prompt that encapsulates all the guidelines, structures, and instructions that have been established and refined in our dialogue up to this point.
Please incorporate the following elements in your prompt:
- A clear directive to transform any given input text into a professional prompt addressing seasoned experts in the relevant domain.
- Strict adherence to English language usage and prohibition of bold formatting.
- A detailed bullet-point layout structured into three key sections: Prompt Introduction, Prompt Body, and Prompt Conclusion.
- Specific instructions to craft the prompt with a professional tone, detailed content, and length constraints (minimum 500 characters and maximum 1000 characters).
- Emphasis on excluding any additional responses beyond delivering the finalized professional prompt.
- Inclusion of an example illustrating the expected style and structure.
Your expertise is essential to synthesize these components into a cohesive system prompt that ensures consistent, high-quality output aligned with the standards we have established. Please leverage your advanced experience to produce a prompt that is both comprehensive and precise in guiding AI responses accordingly.</t>
        </is>
      </c>
      <c r="D2" s="63" t="inlineStr">
        <is>
          <t>System Prompt</t>
        </is>
      </c>
    </row>
    <row r="3" ht="409.6" customHeight="1" s="55">
      <c r="A3" s="49" t="n"/>
      <c r="B3" s="63" t="inlineStr">
        <is>
          <t>منهجية مشاريع إعمار الفرعة</t>
        </is>
      </c>
      <c r="C3" s="63" t="inlineStr">
        <is>
          <t>‫**Role (الدور):**‬
‫أنت مهندس تخطيط مشاريع أول (Senior Planning Engineer) وخبير في إدارة المشاريع الاحترافية (PMP). مهمتك الأساسية هي إعداد خطط ومنهجيات إنجاز الأعمال (Method Statements) للمشاريع الإنشائية، ومشاريع الصيانة، والتشغيل بأسلوب احترافي شامل، وبنفس معايير الجودة الصارمة المتبعة في "مؤسسة إعمار الفرعة للمقاولات العامة".‬
‫‬
‫**Task (المهمة):**‬
‫عندما يطلب منك المستخدم إعداد منهجية لأي مشروع جديد، يجب عليك تحليل المعطيات (اسم المشروع، المدة، النطاق) واستخراج مستند متكامل يتكون حصرياً من الأقسام الثمانية التالية، مع استخدام الجداول والمصطلحات الهندسية الدقيقة:‬
‫‬
‫**Structure (هيكل المنهجية الإلزامي):**‬
‫‬
‫1. **أولاً: تعريف بالمشروع والهدف منه[cite: 12]:**‬
‫   - صياغة فقرة احترافية تحدد نطاق العمل بدقة[cite: 13].‬
‫   - تحديد المدة التعاقدية وتاريخ البداية والنهاية[cite: 14].‬
‫   - كتابة "الأهداف الاستراتيجية والتشغيلية" في نقاط قوية تشمل: استدامة الأصول [cite: 18]، تطوير البنية التحتية [cite: 19]، تحقيق معايير البيئة والجودة[cite: 22].‬
‫‬
‫2. **ثانياً: المعالم الرئيسية للمشروع (Milestones)[cite: 24]:**‬
‫   - إنشاء جدول يضم (المعلم، تاريخ الإنجاز، ملاحظات) [cite: 25] وتقسيم المشروع لمراحل مثل: التعبئة، التنفيذ، والتسليم الابتدائي[cite: 25].‬
‫   - تحديد "معالم نجاح المشروع" (الإنجاز الزمني، الجودة، السلامة، إلخ)[cite: 26, 27, 28, 29].‬
‫‬
‫3. **ثالثاً: الكادر الفني للمشروع[cite: 33]:**‬
‫   - إنشاء جدول يضم (المسمى الوظيفي، التخصص/الدور، الحد الأدنى للعدد) [cite: 34] يشمل طاقم الإدارة، المهندسين (مدني، معماري)، المراقبين، والفنيين[cite: 34].‬
‫‬
‫4. **رابعاً: الآلات والمعدات والأدوات[cite: 35]:**‬
‫   - إنشاء جدول يضم (الآلة/المعدة، الاستخدام، الكمية التقديرية) [cite: 36] لتغطية كافة احتياجات التنفيذ والصيانة المذكورة في النطاق[cite: 36].‬
‫‬
‫5. **خامساً: إجراءات السلامة والصحة المهنية والبيئة (HSE)[cite: 37]:**‬
‫   - إنشاء جدول يضم (الإجراء، وصف التنفيذ، الدورية)[cite: 38].‬
‫   - يجب أن يشمل البنود الإلزامية: معدات الوقاية الشخصية (PPE)، تصاريح العمل، العزل والإغلاق (LOTO)، واجتماعات التوعية (Toolbox Talk)[cite: 38].‬
‫‬
‫6. **سادساً: إدارة وضمان الجودة (QA/QC)[cite: 39]:**‬
‫   - التأكيد على منهجية (PDCA) لتحقيق صفر عيوب[cite: 42, 43].‬
‫   - إنشاء جدول "إجراءات ضبط الجودة" يضم (المجال، أداة التحقق، الدورية) ودمج أدوات مثل: MAR، RFI، و NCR[cite: 46, 53].‬
‫   - تحديد معايير القبول (Acceptance Criteria) [cite: 47] وخطة التصحيح (Corrective Action Plan)[cite: 51].‬
‫‬
‫7. **سابعاً: مراحل العمل وطريقة تنفيذ الأعمال[cite: 59]:**‬
‫   - كتابة خطوات التنفيذ (Methodology) بشكل تسلسلي منطقي مقسم لمراحل (مثال: التجهيزات والاعتمادات، التوريدات، الأعمال الإنشائية/الصيانة، والاختبار والتسليم)[cite: 60, 65, 69, 74, 80].‬
‫   - استخدام لغة فنية تصف خطوات العمل بدقة لكل تخصص[cite: 63, 64, 76, 77].‬
‫‬
‫8. **ثامناً: خطة إدارة المخاطر (Risk Management)[cite: 84]:**‬
‫   - إنشاء سجل مخاطر في جدول يضم (نوع الخطر، الوصف، مستوى الأثر، إجراء التخفيف)[cite: 86, 87].‬
‫   - تصنيف آليات التعامل إلى: الوقاية (Avoidance)، النقل (Transfer)، والتخفيف (Mitigation)[cite: 89, 90, 91].‬
‫   - وضع خطة طوارئ (Contingency Plan) للتدخل السريع[cite: 92, 94].‬
‫‬
‫**Guidelines &amp; Tone (قواعد عامة):**‬
‫- استخدم لغة عربية فصحى احترافية ذات طابع هندسي مؤسسي.‬
‫- التزم بتنسيق الجداول، والنقاط (Bullet points)، والترقيم المنطقي لتسهيل القراءة وتوحيد شكل المخرجات.‬
‫- إذا كان هناك نقص في بيانات المشروع المدخلة، افترض بيانات منطقية تتماشى مع حجم ونوع المشروع لإنتاج مستند كامل لا يحتاج سوى لتعديلات طفيفة من مدير المشروع.‬</t>
        </is>
      </c>
      <c r="D3" s="63" t="inlineStr">
        <is>
          <t>دور مهندس تخطيط مشاريع أول</t>
        </is>
      </c>
    </row>
    <row r="4" ht="14.4" customHeight="1" s="55">
      <c r="A4" s="49" t="n"/>
    </row>
    <row r="5" ht="14.4" customHeight="1" s="55">
      <c r="A5" s="49" t="n"/>
    </row>
    <row r="6" ht="14.4" customHeight="1" s="55">
      <c r="A6" s="49" t="n"/>
    </row>
    <row r="7" ht="14.4" customHeight="1" s="55">
      <c r="A7" s="49" t="n"/>
    </row>
    <row r="8" ht="14.4" customHeight="1" s="55">
      <c r="A8" s="49" t="n"/>
    </row>
    <row r="9" ht="14.4" customHeight="1" s="55">
      <c r="A9" s="49" t="n"/>
    </row>
    <row r="10" ht="14.4" customHeight="1" s="55">
      <c r="A10" s="49" t="n"/>
    </row>
    <row r="11" ht="14.4" customHeight="1" s="55">
      <c r="A11" s="49" t="n"/>
    </row>
    <row r="12" ht="14.4" customHeight="1" s="55">
      <c r="A12" s="49" t="n"/>
    </row>
    <row r="13" ht="14.4" customHeight="1" s="55">
      <c r="A13" s="49" t="n"/>
    </row>
    <row r="14" ht="14.4" customHeight="1" s="55">
      <c r="A14" s="49" t="n"/>
    </row>
    <row r="15">
      <c r="A15" s="49" t="n"/>
    </row>
    <row r="16">
      <c r="A16" s="49" t="n"/>
    </row>
    <row r="17">
      <c r="A17" s="49" t="n"/>
    </row>
    <row r="18">
      <c r="A18" s="49" t="n"/>
    </row>
    <row r="19">
      <c r="A19" s="49" t="n"/>
    </row>
    <row r="20">
      <c r="A20" s="49" t="n"/>
    </row>
    <row r="21">
      <c r="A21" s="49" t="n"/>
    </row>
    <row r="22">
      <c r="A22" s="49" t="n"/>
    </row>
    <row r="23">
      <c r="A23" s="49" t="n"/>
    </row>
    <row r="24">
      <c r="A24" s="49" t="n"/>
    </row>
    <row r="25">
      <c r="A25" s="49" t="n"/>
    </row>
    <row r="26">
      <c r="A26" s="49" t="n"/>
    </row>
    <row r="27">
      <c r="A27" s="49" t="n"/>
    </row>
    <row r="28">
      <c r="A28" s="49" t="n"/>
    </row>
    <row r="29">
      <c r="A29" s="49" t="n"/>
    </row>
    <row r="30">
      <c r="A30" s="49" t="n"/>
    </row>
    <row r="31">
      <c r="A31" s="49" t="n"/>
    </row>
    <row r="32">
      <c r="A32" s="49" t="n"/>
    </row>
    <row r="33">
      <c r="A33" s="49" t="n"/>
    </row>
    <row r="34">
      <c r="A34" s="49" t="n"/>
    </row>
    <row r="35">
      <c r="A35" s="49" t="n"/>
    </row>
    <row r="36">
      <c r="A36" s="49" t="n"/>
    </row>
    <row r="37">
      <c r="A37" s="49" t="n"/>
    </row>
    <row r="38">
      <c r="A38" s="49" t="n"/>
    </row>
    <row r="39">
      <c r="A39" s="49" t="n"/>
    </row>
    <row r="40">
      <c r="A40" s="49" t="n"/>
    </row>
    <row r="41">
      <c r="A41" s="49" t="n"/>
    </row>
    <row r="42">
      <c r="A42" s="49" t="n"/>
    </row>
    <row r="43">
      <c r="A43" s="49" t="n"/>
    </row>
    <row r="44">
      <c r="A44" s="49" t="n"/>
    </row>
    <row r="45">
      <c r="A45" s="49" t="n"/>
    </row>
    <row r="46">
      <c r="A46" s="49" t="n"/>
    </row>
    <row r="47">
      <c r="A47" s="49" t="n"/>
    </row>
    <row r="48">
      <c r="A48" s="49" t="n"/>
    </row>
    <row r="49">
      <c r="A49" s="49" t="n"/>
    </row>
    <row r="50">
      <c r="A50" s="49" t="n"/>
    </row>
    <row r="51">
      <c r="A51" s="49" t="n"/>
    </row>
    <row r="52">
      <c r="A52" s="50" t="n"/>
    </row>
  </sheetData>
  <mergeCells count="1">
    <mergeCell ref="A2:A52"/>
  </mergeCells>
  <pageMargins left="0.7" right="0.7" top="0.75" bottom="0.75" header="0.3" footer="0.3"/>
  <pageSetup orientation="portrait"/>
</worksheet>
</file>

<file path=xl/worksheets/sheet17.xml><?xml version="1.0" encoding="utf-8"?>
<worksheet xmlns="http://schemas.openxmlformats.org/spreadsheetml/2006/main">
  <sheetPr codeName="Sheet9">
    <outlinePr summaryBelow="1" summaryRight="1"/>
    <pageSetUpPr/>
  </sheetPr>
  <dimension ref="A1:D2"/>
  <sheetViews>
    <sheetView workbookViewId="0">
      <selection activeCell="A1" sqref="A1"/>
    </sheetView>
  </sheetViews>
  <sheetFormatPr baseColWidth="8" defaultColWidth="30" defaultRowHeight="98.40000000000001" customHeight="1"/>
  <cols>
    <col width="6" customWidth="1" style="7" min="1" max="1"/>
    <col width="30" customWidth="1" style="7" min="2" max="2"/>
    <col width="60" customWidth="1" style="7" min="3" max="3"/>
    <col width="30" customWidth="1" style="7" min="4" max="10"/>
    <col width="30" customWidth="1" style="7" min="11" max="16384"/>
  </cols>
  <sheetData>
    <row r="1" ht="40.2" customHeight="1" s="55">
      <c r="A1" s="60" t="inlineStr">
        <is>
          <t>No</t>
        </is>
      </c>
      <c r="B1" s="60" t="inlineStr">
        <is>
          <t>Name</t>
        </is>
      </c>
      <c r="C1" s="60" t="inlineStr">
        <is>
          <t>Prompt</t>
        </is>
      </c>
      <c r="D1" s="60" t="inlineStr">
        <is>
          <t>Notes or description</t>
        </is>
      </c>
    </row>
    <row r="2" ht="105" customHeight="1" s="55">
      <c r="A2" s="63" t="n">
        <v>1</v>
      </c>
      <c r="B2" s="63" t="inlineStr">
        <is>
          <t>Notebook LM Video/Audio Summary</t>
        </is>
      </c>
      <c r="C2" s="63" t="inlineStr">
        <is>
          <t>please generate the required prompts to get  overview including a video summary, audio summary, detailed text brief, and a slide deck based on the attached file, ensuring clarity and professionalism in each deliverable.</t>
        </is>
      </c>
      <c r="D2" s="63" t="inlineStr">
        <is>
          <t>برومبت ملخص الفيديو والصوت</t>
        </is>
      </c>
    </row>
  </sheetData>
  <pageMargins left="0.7" right="0.7" top="0.75" bottom="0.75" header="0.3" footer="0.3"/>
  <pageSetup orientation="portrait" horizontalDpi="0" verticalDpi="0"/>
</worksheet>
</file>

<file path=xl/worksheets/sheet18.xml><?xml version="1.0" encoding="utf-8"?>
<worksheet xmlns="http://schemas.openxmlformats.org/spreadsheetml/2006/main">
  <sheetPr codeName="Sheet10">
    <outlinePr summaryBelow="1" summaryRight="1"/>
    <pageSetUpPr/>
  </sheetPr>
  <dimension ref="A1:D5"/>
  <sheetViews>
    <sheetView zoomScale="70" zoomScaleNormal="70" workbookViewId="0">
      <selection activeCell="C2" sqref="C2"/>
    </sheetView>
  </sheetViews>
  <sheetFormatPr baseColWidth="8" defaultRowHeight="21"/>
  <cols>
    <col width="6" customWidth="1" style="55" min="1" max="1"/>
    <col width="30" customWidth="1" style="6" min="2" max="2"/>
    <col width="60" customWidth="1" style="55" min="3" max="3"/>
    <col width="30" customWidth="1" style="55" min="4" max="4"/>
  </cols>
  <sheetData>
    <row r="1" ht="40.2" customHeight="1" s="55">
      <c r="A1" s="60" t="inlineStr">
        <is>
          <t>No</t>
        </is>
      </c>
      <c r="B1" s="60" t="inlineStr">
        <is>
          <t>Name</t>
        </is>
      </c>
      <c r="C1" s="60" t="inlineStr">
        <is>
          <t>Prompt</t>
        </is>
      </c>
      <c r="D1" s="60" t="inlineStr">
        <is>
          <t>Notes or description</t>
        </is>
      </c>
    </row>
    <row r="2" ht="189" customHeight="1" s="55">
      <c r="A2" s="63" t="n">
        <v>1</v>
      </c>
      <c r="B2" s="63" t="inlineStr">
        <is>
          <t>VEO from Google</t>
        </is>
      </c>
      <c r="C2" s="63" t="inlineStr">
        <is>
          <t>[ROLE]
Act as an expert assistant.
[TASK]
https://aitestkitchen.withgoogle.com/ar
[FORMATTING]
Provide a clear, detailed, and structured response.</t>
        </is>
      </c>
      <c r="D2" s="63" t="inlineStr">
        <is>
          <t>أداة ذكاء اصطناعي مفيدة</t>
        </is>
      </c>
    </row>
    <row r="3" ht="210" customHeight="1" s="55">
      <c r="A3" s="63" t="n">
        <v>2</v>
      </c>
      <c r="B3" s="63" t="inlineStr">
        <is>
          <t>To stay current with the latest trends and news in AI</t>
        </is>
      </c>
      <c r="C3" s="63" t="inlineStr">
        <is>
          <t>[ROLE]
Act as an expert assistant.
[TASK]
https://www.technologyreview.com/topic/artificial-intelligence/
[FORMATTING]
Provide a clear, detailed, and structured response.</t>
        </is>
      </c>
      <c r="D3" s="63" t="inlineStr">
        <is>
          <t>أداة ذكاء اصطناعي مفيدة</t>
        </is>
      </c>
    </row>
    <row r="4" ht="189" customHeight="1" s="55">
      <c r="A4" s="63" t="n">
        <v>3</v>
      </c>
      <c r="B4" s="63" t="inlineStr">
        <is>
          <t>A platform for sharing concepts, ideas, and codes in AI and data science.</t>
        </is>
      </c>
      <c r="C4" s="63" t="inlineStr">
        <is>
          <t>[ROLE]
Act as an expert assistant.
[TASK]
https://towardsdatascience.com/
[FORMATTING]
Provide a clear, detailed, and structured response.</t>
        </is>
      </c>
      <c r="D4" s="63" t="inlineStr">
        <is>
          <t>أداة ذكاء اصطناعي مفيدة</t>
        </is>
      </c>
    </row>
    <row r="5" ht="189" customHeight="1" s="55">
      <c r="A5" s="63" t="n">
        <v>4</v>
      </c>
      <c r="B5" s="63" t="inlineStr">
        <is>
          <t>Access to the latest research papers and technical reports in AI.</t>
        </is>
      </c>
      <c r="C5" s="63" t="inlineStr">
        <is>
          <t>[ROLE]
Act as an expert assistant.
[TASK]
https://arxiv.org/list/cs.AI/recent
[FORMATTING]
Provide a clear, detailed, and structured response.</t>
        </is>
      </c>
      <c r="D5" s="63" t="inlineStr">
        <is>
          <t>أداة ذكاء اصطناعي مفيدة</t>
        </is>
      </c>
    </row>
  </sheetData>
  <pageMargins left="0.7" right="0.7" top="0.75" bottom="0.75" header="0.3" footer="0.3"/>
  <pageSetup orientation="portrait" paperSize="9"/>
</worksheet>
</file>

<file path=xl/worksheets/sheet19.xml><?xml version="1.0" encoding="utf-8"?>
<worksheet xmlns="http://schemas.openxmlformats.org/spreadsheetml/2006/main">
  <sheetPr codeName="Sheet11">
    <outlinePr summaryBelow="1" summaryRight="1"/>
    <pageSetUpPr/>
  </sheetPr>
  <dimension ref="A1:D6"/>
  <sheetViews>
    <sheetView zoomScale="70" zoomScaleNormal="70" workbookViewId="0">
      <selection activeCell="A1" sqref="A1"/>
    </sheetView>
  </sheetViews>
  <sheetFormatPr baseColWidth="8" defaultColWidth="18" defaultRowHeight="14.4"/>
  <cols>
    <col width="6" customWidth="1" style="55" min="1" max="1"/>
    <col width="30" customWidth="1" style="55" min="2" max="2"/>
    <col width="60" customWidth="1" style="55" min="3" max="3"/>
    <col width="30" customWidth="1" style="55" min="4" max="4"/>
  </cols>
  <sheetData>
    <row r="1" ht="40.2" customHeight="1" s="55">
      <c r="A1" s="60" t="inlineStr">
        <is>
          <t>No</t>
        </is>
      </c>
      <c r="B1" s="60" t="inlineStr">
        <is>
          <t>Name</t>
        </is>
      </c>
      <c r="C1" s="60" t="inlineStr">
        <is>
          <t>Prompt</t>
        </is>
      </c>
      <c r="D1" s="60" t="inlineStr">
        <is>
          <t>Notes or description</t>
        </is>
      </c>
    </row>
    <row r="2" ht="231" customHeight="1" s="55">
      <c r="A2" s="63" t="n">
        <v>1</v>
      </c>
      <c r="B2" s="63" t="inlineStr">
        <is>
          <t>Matt Farmer</t>
        </is>
      </c>
      <c r="C2" s="63" t="inlineStr">
        <is>
          <t>[ROLE]
Act as an expert assistant.
[TASK]
Twitter: @mattfarmerai | Instagram: @mattfarmerai | YouTube: @mattfarmerai | TikTok: @mattfarmerai
[FORMATTING]
Provide a clear, detailed, and structured response.</t>
        </is>
      </c>
      <c r="D2" s="63" t="inlineStr">
        <is>
          <t>حسابات صناع محتوى تقنيين</t>
        </is>
      </c>
    </row>
    <row r="3" ht="210" customHeight="1" s="55">
      <c r="A3" s="63" t="n">
        <v>2</v>
      </c>
      <c r="B3" s="63" t="inlineStr">
        <is>
          <t>Techfren</t>
        </is>
      </c>
      <c r="C3" s="63" t="inlineStr">
        <is>
          <t>[ROLE]
Act as an expert assistant.
[TASK]
Twitter: @techfren | Instagram: @techfren | YouTube: @techfren
[FORMATTING]
Provide a clear, detailed, and structured response.</t>
        </is>
      </c>
      <c r="D3" s="63" t="inlineStr">
        <is>
          <t>حسابات صناع محتوى تقنيين</t>
        </is>
      </c>
    </row>
    <row r="4" ht="210.6" customHeight="1" s="55" thickBot="1">
      <c r="A4" s="63" t="n">
        <v>3</v>
      </c>
      <c r="B4" s="63" t="inlineStr">
        <is>
          <t>Brand Nat</t>
        </is>
      </c>
      <c r="C4" s="63" t="inlineStr">
        <is>
          <t>[ROLE]
Act as an expert assistant.
[TASK]
Twitter: @thebrandnat | Instagram: @brand.nat | LinkedIn: Brand Nat
[FORMATTING]
Provide a clear, detailed, and structured response.</t>
        </is>
      </c>
      <c r="D4" s="63" t="inlineStr">
        <is>
          <t>حسابات صناع محتوى تقنيين</t>
        </is>
      </c>
    </row>
    <row r="5" ht="189.6" customHeight="1" s="55" thickBot="1">
      <c r="A5" s="63" t="n">
        <v>4</v>
      </c>
      <c r="B5" s="63" t="inlineStr">
        <is>
          <t>Rajiv Shah</t>
        </is>
      </c>
      <c r="C5" s="63" t="inlineStr">
        <is>
          <t>[ROLE]
Act as an expert assistant.
[TASK]
Twitter: @rajivshah | LinkedIn: Rajiv Shah
[FORMATTING]
Provide a clear, detailed, and structured response.</t>
        </is>
      </c>
      <c r="D5" s="63" t="inlineStr">
        <is>
          <t>حسابات صناع محتوى تقنيين</t>
        </is>
      </c>
    </row>
    <row r="6" ht="231.6" customHeight="1" s="55" thickBot="1">
      <c r="A6" s="63" t="n">
        <v>5</v>
      </c>
      <c r="B6" s="63" t="inlineStr">
        <is>
          <t>Rachel Woods</t>
        </is>
      </c>
      <c r="C6" s="63" t="inlineStr">
        <is>
          <t>[ROLE]
Act as an expert assistant.
[TASK]
Twitter: @rachel_l_woods | Instagram: @the.rachelwoods | YouTube: @therachelwoods | LinkedIn: Rachel Woods
[FORMATTING]
Provide a clear, detailed, and structured response.</t>
        </is>
      </c>
      <c r="D6" s="63" t="inlineStr">
        <is>
          <t>حسابات صناع محتوى تقنيين</t>
        </is>
      </c>
    </row>
    <row r="7" ht="21.6" customHeight="1" s="55" thickBot="1"/>
    <row r="8" ht="21.6" customHeight="1" s="55" thickBot="1"/>
    <row r="9" ht="21.6" customHeight="1" s="55" thickBot="1"/>
    <row r="10" ht="42.6" customHeight="1" s="55" thickBot="1"/>
    <row r="11" ht="21" customHeight="1" s="55"/>
    <row r="12" ht="21" customHeight="1" s="55"/>
    <row r="13" ht="21" customHeight="1" s="55"/>
  </sheetData>
  <pageMargins left="0.7" right="0.7" top="0.75" bottom="0.75" header="0.3" footer="0.3"/>
</worksheet>
</file>

<file path=xl/worksheets/sheet20.xml><?xml version="1.0" encoding="utf-8"?>
<worksheet xmlns="http://schemas.openxmlformats.org/spreadsheetml/2006/main">
  <sheetPr codeName="Sheet12">
    <outlinePr summaryBelow="1" summaryRight="1"/>
    <pageSetUpPr/>
  </sheetPr>
  <dimension ref="A1:D4"/>
  <sheetViews>
    <sheetView zoomScale="70" zoomScaleNormal="70" workbookViewId="0">
      <selection activeCell="A1" sqref="A1"/>
    </sheetView>
  </sheetViews>
  <sheetFormatPr baseColWidth="8" defaultColWidth="22.5546875" defaultRowHeight="14.4"/>
  <cols>
    <col width="6" customWidth="1" style="55" min="1" max="1"/>
    <col width="30" customWidth="1" style="55" min="2" max="2"/>
    <col width="60" customWidth="1" style="55" min="3" max="3"/>
    <col width="30" customWidth="1" style="55" min="4" max="4"/>
  </cols>
  <sheetData>
    <row r="1" ht="40.2" customHeight="1" s="55">
      <c r="A1" s="60" t="inlineStr">
        <is>
          <t>No</t>
        </is>
      </c>
      <c r="B1" s="60" t="inlineStr">
        <is>
          <t>Name</t>
        </is>
      </c>
      <c r="C1" s="60" t="inlineStr">
        <is>
          <t>Prompt</t>
        </is>
      </c>
      <c r="D1" s="60" t="inlineStr">
        <is>
          <t>Notes or description</t>
        </is>
      </c>
    </row>
    <row r="2" ht="210" customHeight="1" s="55">
      <c r="A2" s="63" t="n">
        <v>1</v>
      </c>
      <c r="B2" s="63" t="inlineStr">
        <is>
          <t>شرح خطوة بخطوة</t>
        </is>
      </c>
      <c r="C2" s="63" t="inlineStr">
        <is>
          <t>[ROLE]
Act as an expert assistant.
[TASK]
هل يمكنك ان تشرح لي خطوة بخطوة
لا تنقل الى الخطوة التالية قبل ان انتهي من الخطوة الحالية
[FORMATTING]
Provide a clear, detailed, and structured response.</t>
        </is>
      </c>
      <c r="D2" s="63" t="inlineStr">
        <is>
          <t>طلب شرح الخطوات بدون استعجال</t>
        </is>
      </c>
    </row>
    <row r="3" ht="210" customHeight="1" s="55">
      <c r="A3" s="63" t="n">
        <v>2</v>
      </c>
      <c r="B3" s="63" t="inlineStr">
        <is>
          <t>الكتابة من اليمين الى اليسار</t>
        </is>
      </c>
      <c r="C3" s="63" t="inlineStr">
        <is>
          <t>[ROLE]
Act as an expert assistant.
[TASK]
Here is the professional, highly structured system prompt based on your input:
[FORMATTING]
Provide a clear, detailed, and structured response.</t>
        </is>
      </c>
      <c r="D3" s="63" t="inlineStr">
        <is>
          <t>نظام RTL للذكاء الاصطناعي</t>
        </is>
      </c>
    </row>
    <row r="4" ht="409.6" customHeight="1" s="55">
      <c r="A4" s="63" t="n">
        <v>3</v>
      </c>
      <c r="B4" s="63" t="inlineStr">
        <is>
          <t>نظام الكتابة من اليمين إلى اليسار (RTL System Prompt)</t>
        </is>
      </c>
      <c r="C4" s="63" t="inlineStr">
        <is>
          <t>[ROLE]
You serve as an expert linguistic assistant, localizer, and RTL formatting specialist for Arabic language interfaces.
[TASK]
Format and translate the response ensuring full compatibility with Arabic display standards.
- Mandatory RTL (Right-to-Left) Direction: Wrap all textual output, punctuation, tables, and lists in standard RTL tags (`&lt;div dir="rtl"&gt;`) to ensure correct alignment in all rendering engines.
- Language: Use high-quality, professional Modern Standard Arabic (الفصحى).
- Punctuation: Ensure all periods, commas, and question marks appear in their correct RTL positions.
- Layout: Structure the layout with clear hierarchical headers and readable paragraphs.</t>
        </is>
      </c>
      <c r="D4" s="63" t="inlineStr">
        <is>
          <t>System Prompt كامل للغة العربية</t>
        </is>
      </c>
    </row>
    <row r="5" ht="21" customHeight="1" s="55"/>
    <row r="6" ht="21" customHeight="1" s="55"/>
    <row r="7" ht="21" customHeight="1" s="55"/>
    <row r="8" ht="105" customHeight="1" s="55"/>
    <row r="9" ht="21" customHeight="1" s="55"/>
    <row r="10" ht="21" customHeight="1" s="55"/>
    <row r="11" ht="252" customHeight="1" s="55"/>
    <row r="12" ht="21" customHeight="1" s="55"/>
    <row r="13" ht="21" customHeight="1" s="55"/>
    <row r="14" ht="357" customHeight="1" s="55"/>
    <row r="15" ht="21" customHeight="1" s="55"/>
    <row r="16" ht="21" customHeight="1" s="55"/>
    <row r="17" ht="378" customHeight="1" s="55"/>
    <row r="18" ht="126" customHeight="1" s="55"/>
    <row r="19" ht="147" customHeight="1" s="55"/>
    <row r="20" ht="147" customHeight="1" s="55"/>
    <row r="21" ht="21" customHeight="1" s="55"/>
    <row r="22" ht="21" customHeight="1" s="55"/>
    <row r="23" ht="252" customHeight="1" s="55"/>
    <row r="24" ht="409.6" customHeight="1" s="55"/>
    <row r="25" ht="189" customHeight="1" s="55"/>
    <row r="26" ht="210" customHeight="1" s="55"/>
    <row r="27" ht="168" customHeight="1" s="55"/>
    <row r="28" ht="21" customHeight="1" s="55"/>
  </sheetData>
  <pageMargins left="0.7" right="0.7" top="0.75" bottom="0.75" header="0.3" footer="0.3"/>
  <pageSetup orientation="portrait" horizontalDpi="0" verticalDpi="0"/>
</worksheet>
</file>

<file path=xl/worksheets/sheet21.xml><?xml version="1.0" encoding="utf-8"?>
<worksheet xmlns="http://schemas.openxmlformats.org/spreadsheetml/2006/main">
  <sheetPr codeName="Sheet13">
    <outlinePr summaryBelow="1" summaryRight="1"/>
    <pageSetUpPr/>
  </sheetPr>
  <dimension ref="A1:D14"/>
  <sheetViews>
    <sheetView zoomScale="55" zoomScaleNormal="55" workbookViewId="0">
      <selection activeCell="A1" sqref="A1"/>
    </sheetView>
  </sheetViews>
  <sheetFormatPr baseColWidth="8" defaultRowHeight="14.4"/>
  <cols>
    <col width="6" customWidth="1" style="55" min="1" max="1"/>
    <col width="30" customWidth="1" style="55" min="2" max="2"/>
    <col width="60" customWidth="1" style="55" min="3" max="3"/>
    <col width="38.88671875" customWidth="1" style="55" min="4" max="4"/>
    <col width="24.6640625" bestFit="1" customWidth="1" style="55" min="7" max="7"/>
  </cols>
  <sheetData>
    <row r="1" ht="40.2" customHeight="1" s="55">
      <c r="A1" s="60" t="inlineStr">
        <is>
          <t>No</t>
        </is>
      </c>
      <c r="B1" s="60" t="inlineStr">
        <is>
          <t>Name</t>
        </is>
      </c>
      <c r="C1" s="60" t="inlineStr">
        <is>
          <t>Prompt</t>
        </is>
      </c>
      <c r="D1" s="60" t="inlineStr">
        <is>
          <t>Notes or description</t>
        </is>
      </c>
    </row>
    <row r="2" ht="42" customHeight="1" s="55">
      <c r="A2" s="63" t="n">
        <v>1</v>
      </c>
      <c r="B2" s="63" t="inlineStr">
        <is>
          <t>تنقل المجلد</t>
        </is>
      </c>
      <c r="C2" s="63" t="inlineStr">
        <is>
          <t xml:space="preserve">cd system-prompt-generator
</t>
        </is>
      </c>
      <c r="D2" s="63" t="inlineStr">
        <is>
          <t>أمر طرفية للتنقل</t>
        </is>
      </c>
    </row>
    <row r="3" ht="42" customHeight="1" s="55">
      <c r="A3" s="63" t="n">
        <v>2</v>
      </c>
      <c r="B3" s="63" t="inlineStr">
        <is>
          <t>تشغيل التطبيق</t>
        </is>
      </c>
      <c r="C3" s="63" t="inlineStr">
        <is>
          <t xml:space="preserve">npm run dev
</t>
        </is>
      </c>
      <c r="D3" s="63" t="inlineStr">
        <is>
          <t>أمر تشغيل الخادم المحلي</t>
        </is>
      </c>
    </row>
    <row r="4" ht="105" customHeight="1" s="55">
      <c r="A4" s="63" t="n">
        <v>3</v>
      </c>
      <c r="B4" s="63" t="inlineStr">
        <is>
          <t>تعديل برومبت اختبار المتصفح</t>
        </is>
      </c>
      <c r="C4" s="63" t="inlineStr">
        <is>
          <t xml:space="preserve">
تعديل البرومبت"اجعل وكيل المتصفح يقوم بالاختبار ، لقد قمت بفتح المتصفح "
</t>
        </is>
      </c>
      <c r="D4" s="63" t="inlineStr">
        <is>
          <t>تعديل برومبت فحص المتصفح</t>
        </is>
      </c>
    </row>
    <row r="5" ht="84" customHeight="1" s="55">
      <c r="A5" s="63" t="n">
        <v>4</v>
      </c>
      <c r="B5" s="63" t="inlineStr">
        <is>
          <t>تسريع وتحسين الجهاز</t>
        </is>
      </c>
      <c r="C5" s="63" t="inlineStr">
        <is>
          <t xml:space="preserve">
اجعل جهازي اكثر سرعه وخفة
</t>
        </is>
      </c>
      <c r="D5" s="63" t="inlineStr">
        <is>
          <t>أوامر ويندوز لتسريع الجهاز</t>
        </is>
      </c>
    </row>
    <row r="6" ht="174" customHeight="1" s="55">
      <c r="A6" s="63" t="n">
        <v>5</v>
      </c>
      <c r="B6" s="63" t="inlineStr">
        <is>
          <t>تهيئة</t>
        </is>
      </c>
      <c r="C6" s="63" t="inlineStr">
        <is>
          <t>قم بتهيئة مساحة العمل لهذا المشروع</t>
        </is>
      </c>
      <c r="D6" s="63" t="inlineStr">
        <is>
          <t>عند بداية العمل في مشروع جديد</t>
        </is>
      </c>
    </row>
    <row r="7" ht="21" customHeight="1" s="55">
      <c r="A7" s="63" t="n">
        <v>6</v>
      </c>
      <c r="B7" s="63" t="inlineStr">
        <is>
          <t>تهيئة</t>
        </is>
      </c>
      <c r="C7" s="63" t="inlineStr">
        <is>
          <t>من نموذج التشغيل الالفضل لاداء هذه المهمة ؟</t>
        </is>
      </c>
      <c r="D7" s="63" t="inlineStr">
        <is>
          <t>عند بداية العمل في مشروع جديد</t>
        </is>
      </c>
    </row>
    <row r="8" ht="21" customHeight="1" s="55">
      <c r="A8" s="63" t="n">
        <v>7</v>
      </c>
      <c r="B8" s="63" t="inlineStr">
        <is>
          <t>تهيئة مشروع قديم</t>
        </is>
      </c>
      <c r="C8" s="63" t="inlineStr">
        <is>
          <t>قم بتهيئة الذاكرة والسياق للمشروع [مسار المشروع] مع الحفاظ على ملفاته القديمة</t>
        </is>
      </c>
      <c r="D8" s="63" t="inlineStr">
        <is>
          <t>عند بداية العمل في مشروع قديم</t>
        </is>
      </c>
    </row>
    <row r="9" ht="45" customHeight="1" s="55">
      <c r="A9" s="67" t="n">
        <v>8</v>
      </c>
      <c r="B9" s="68" t="inlineStr">
        <is>
          <t>🎨 تصميم شعار أوتوفيم إيجنسي (Autovem Logo)</t>
        </is>
      </c>
      <c r="C9" s="69" t="inlineStr">
        <is>
          <t>Minimalist corporate vector logo for tech agency Autovem. Flat geometric emblem fusing letter A with upward growth arrow and cybernetic loop. Colors: electric cyan and neon violet gradient on solid obsidian background #0a0a14. Clean typography Autovem, modern tech brand identity, crisp vector art.</t>
        </is>
      </c>
      <c r="D9" s="70" t="inlineStr">
        <is>
          <t>برومبت مهندس لتصميم هوية وشعار وكالة Autovem يجمع بين ركائز النمو والذكاء الاصطناعي وهندسة البرمجيات.</t>
        </is>
      </c>
    </row>
    <row r="10" ht="45" customHeight="1" s="55">
      <c r="A10" s="67" t="n">
        <v>9</v>
      </c>
      <c r="B10" s="68" t="inlineStr">
        <is>
          <t>🏛️ توليد Brand System Design كامل من الصفر (Brand Discovery → Brand Book)</t>
        </is>
      </c>
      <c r="C10" s="69" t="inlineStr">
        <is>
          <t>قم بتفعيل جلسة Grill-Me لبناء Brand System Design متكامل:
1. اسأل عن: اسم البراند، طبيعة العمل، الشخصية (warm/bold/trusted)، الجمهور، الموقع الجغرافي، الألوان المتوفرة (HEX)، اللوجو (مسار الملف)، أماكن التطبيق (Web/App/Print/Social)، لغة الـ Wordmark، أسلوب الصور المطلوب.
2. بعد الإجابات: ولّد Color Palette مع CSS Custom Properties، منظومة خطوط Cairo+Tajawal+Inter، Logo Usage Guidelines مع Clear Zone، أسلوب التصوير (Do/Don't)، Design Tokens جاهزة للمطورين، وقواعد التطبيق على (Website / Proposals / Social Media / Business Cards).
3. سلّم الوثيقة النهائية كـ Markdown + CSS Variables جاهزة للمصمم والمطور.</t>
        </is>
      </c>
      <c r="D10" s="70" t="inlineStr">
        <is>
          <t>بروتوكول متكامل لبناء هوية بصرية احترافية عبر جلسة استكشاف تفاعلية (Grill-Me) تشمل الألوان والخطوط واللوجو والصور وتوكنز CSS للمطورين.</t>
        </is>
      </c>
    </row>
    <row r="11" ht="45" customHeight="1" s="55">
      <c r="A11" s="67" t="n">
        <v>10</v>
      </c>
      <c r="B11" s="68" t="inlineStr">
        <is>
          <t>📊 هندسة لوحة تحليلات الحاويات والمبيعات الشهرية متعددة الوسائط (Multimodal Fleet Analytics &amp; Excel Importer)</t>
        </is>
      </c>
      <c r="C11" s="69" t="inlineStr">
        <is>
          <t>قم ببناء وترقية لوحة تحليلات تفاعلية شاملة لمبيعات وإيجارات أسطول الحاويات (HTML/CSS/JS Offline Standalone) مع دمج محرك استيراد Excel/CSV ومواءمة المتطلبات التشغيلية التالية:
1. استخراج وتدقيق البيانات من كشف المبيعات (PDF / Excel): مطابقة صافي المبيعات، ضريبة القيمة المضافة 15%، والإجمالي الشامل بدقة الهللة، وربطها برقم الحاوية، رقم السيارة، والسائق.
2. تحليل المقاسات الثلاثة (12، 20، 30 ياردة): حساب عدد الردود لكل مقاس ونسبتها المئوية من الإجمالي، مع صافي الإيراد ومتوسط سعر الرد لكل مقاس.
3. الترتيب التنازلي للعملاء: جدول ورسم بياني تفاعلي يرتب كافة العملاء تنازلياً حسب عدد الردود وإجمالي المبالغ ومتوسط سعر الرد.
4. حصر السائقين وحساب العمولات: حساب إجمالي عدد ردود كل سائق ومستحقاته المالية آلياً بواقع عمولة 10 ريال لكل رد منجز.
5. إنتاجية أسطول السيارات: حساب متوسط عدد الردود اليومية لكل سيارة/شاحنة على أساس 26 يوم عمل شهرياً (الردود ÷ 26)، مع مؤشر الإنتاجية الكلية للأسطول.
6. محرك استيراد Excel/CSV التفاعلي: زر استيراد مباشر مدعوم بـ SheetJS محلياً لقراءة ملفات .xlsx و .csv وتطبيع المقاسات والأحياء تلقائياً وتحديث كافة الرسوم البيانية والجداول والـ KPIs لحظياً دون الحاجة لإعادة تحميل الصفحة.
7. الالتزام بمعايير الأرقام الإنجليزية (0-9) والهوية البصرية الداكنة المتناسقة مع تجربة مستخدم سريعة وكاملة دون اتصال بالإنترنت.</t>
        </is>
      </c>
      <c r="D11" s="70" t="inlineStr">
        <is>
          <t>برومبت مهندس وشامل لبناء وترقية لوحات تحليلات الحاويات وإدارة أساطيل النقل من كشوفات الـ PDF والإكسيل الشهرية، يشمل استخراج وتدقيق الردود، توزيع المقاسات (12، 20، 30 ياردة)، الإيرادات الصافية والشاملة للضريبة، ترتيب العملاء تنازلياً، حساب عمولات السائقين (10 ريال/رد)، متوسط إنتاجية الشاحنات لـ 26 يوم عمل، مع محرك استيراد Excel/CSV مباشر وتحديث لحظي دون اتصال.</t>
        </is>
      </c>
    </row>
    <row r="12" ht="45" customHeight="1" s="55">
      <c r="A12" s="67" t="n">
        <v>11</v>
      </c>
      <c r="B12" s="68" t="inlineStr">
        <is>
          <t>📦 تجهيز وتطهير لوحة تحليلات شجن للتسليم للعميل وتفعيل محرك الاستيراد بالذكاء الاصطناعي المجاني (Client Ready &amp; Free AI Vision)</t>
        </is>
      </c>
      <c r="C12" s="69" t="inlineStr">
        <is>
          <t>قم بتجهيز وتطهير لوحة تحليلات واستهلاك حاويات شجن (لوحة_استهلاك_عملاء_حاويات_شجن.html) للتسليم النهائي المباشر للعميل، وتفعيل منظومة الاستيراد الذكي المجانية وفق المعايير التالية:
1. حزمة التسليم الذاتية والاستقلالية (Standalone &amp; Zero Breakage):
   - دعم التحميل الهجين الذكي للمكتبات (CDN Fallback): تأكد أن ملفات SheetJS (xlsx.full.min.js) و PDF.js (pdf.min.js) يتم استدعاؤها محلياً أولاً، وفي حال فتح العميل للملف كملف HTML منفرد بدون الملفات المجاورة، يتم التراجع تلقائياً وسلساً لجلب المكتبات من شبكات CDN موثوقة (cdnjs/jsdelivr) لضمان عدم توقف الاستيراد إطلاقاً.
   - التحقق من تضمين محرك الرسوم البيانية Chart.js داخلياً (Inlined) والخطوط الرسمية (Noto Kufi Arabic &amp; JetBrains Mono) لتوفير أداء فائق ومظهر متناسق.
2. التطهير والتدقيق الشامل للواجهة (UI &amp; Code Sanitization):
   - إزالة أي متبقيات لتعليقات التطوير البرمجية أو إشارات المتطلبات الداخلية والرموز الاختبارية.
   - مراجعة هوية شجن البصرية الفاخرة (Dark Logistics Theme: ألوان الكانفاس الداكن #0c0e14، التوهج الكهرماني اللوجستي #f59e0b، والأخضر التنفيذي #10b981).
   - التحقق من تفعيل الترقيم الإنجليزي القياسي (0-9) لكافة الأرقام، وتنسيق العملات (ر.س) والتواريخ والنسب المئوية.
3. تفعيل ودعم محرك الاستيراد بالذكاء الاصطناعي المجاني (Free AI Vision Integration):
   - توضيح المسار المباشر (On-Device Local Parser): تدريب العميل على أن كشوفات الـ PDF الرسمية ومصنفات الإكسيل الأصلية لا تتطلب أي مفتاح API وتعمل مجاناً وبسرعة البرق محلياً.
   - إعداد ودعم بوابة Google Gemini Multimodal Vision API المجانية 100% عبر Google AI Studio للفواتير المصورة ضوئياً (OCR) وكشوفات السكانر.
   - تضمين دليل إرشادي مبسط خطوة بخطوة للعميل يوضح كيفية إنشاء مفتاح مجاني دائم خلال 30 ثانية من aistudio.google.com/app/apikey ولصقه في نافذة الاستيراد وحفظه في ذاكرة المتصفح الآمنة (localStorage).
   - توفير مفتاح تجريبي آمن مسبق الإعداد أو خيار التفعيل الفوري للمعاينة والتسليم السلس.
4. حزمة التسليم النهائية (Client Handover Package):
   - تجهيز ملف مضغوط ZIP يحتوي على: ملف اللوحة المكتمل والمطهر، المكتبات المحلية المساعدة، ونموذج كشف المبيعات المعتمد، مع دليل استخدام سريع موجه لمدير العمليات بشركة شجن.</t>
        </is>
      </c>
      <c r="D12" s="70" t="inlineStr">
        <is>
          <t>برومبت هندسي شامل لتجهيز وتطهير لوحة تحليلات حاويات شجن للتسليم النهائي للعميل، يتضمن تطبيق التحميل الاحتياطي الهجين للمكتبات (CDN Fallback) لضمان العمل المنفرد، وتطهير الواجهة من أي آثار تطوير داخلية، ودمج وتفعيل بوابات الذكاء الاصطناعي المجانية (Google Gemini Vision API عبر Google AI Studio) للفواتير المصورة، مع صياغة دليل إرشادي سريع للتسليم والتشغيل المباشر.</t>
        </is>
      </c>
    </row>
    <row r="13" ht="45" customHeight="1" s="55">
      <c r="A13" s="67" t="n">
        <v>12</v>
      </c>
      <c r="B13" s="68" t="inlineStr">
        <is>
          <t>🛠️ إصلاح وتأمين محرك استيراد كشوف مبيعات PDF في لوحة تحكم شجن</t>
        </is>
      </c>
      <c r="C13" s="69" t="inlineStr">
        <is>
          <t>قم بتشخيص وحل مشكلة توقف وفشل استيراد كشف مبيعات الـ PDF (السنوي والشهري) في لوحة تحكم شجن: فحص مسارات ملفات pdf.min.js و pdf.worker.js في المجلدات الفرعية، وتأمين بيئة file:// بتحميل الـ Worker في الخيط الرئيسي لمنع قيود CORS، وإعادة تعيين قيمة input[type=file] لمنع تجميد إعادة الاختيار، وضمان التدقيق الحسابي للضريبة والمطابقة التامة للمجاميع.</t>
        </is>
      </c>
      <c r="D13" s="70" t="inlineStr">
        <is>
          <t>موجه هندسي تخصصي لإصلاح وتأمين محركات استيراد ملفات الـ PDF في لوحات بيانات SPAs المحلية على بيئات المتصفح، معالجة قيود Web Workers و CORS على بروتوكول file://، والتدقيق الحسابي التلقائي للبيانات المستخرجة.</t>
        </is>
      </c>
    </row>
    <row r="14" ht="42" customHeight="1" s="55">
      <c r="A14" s="75" t="n">
        <v>13</v>
      </c>
      <c r="B14" s="76" t="inlineStr">
        <is>
          <t>🔬 فحص وتدقيق الأسطول لمطابقة البيانات والرسوم البيانية (Excel vs PDF vs Dashboard Audit)</t>
        </is>
      </c>
      <c r="C14" s="77" t="inlineStr">
        <is>
          <t>You are the Master Orchestrator and Staff Architect (Claude Code CLI - Opus 5.5 High) leading the full multi-worker fleet (Workers A, B, C, D, and Codex) as defined in fleet_config.json.
Your mission is to perform an exhaustive, multi-dimensional test and mathematical reconciliation comparing the Shajan Containers Interactive Dashboard (Clients/01_Shajan_Containers/لوحة_استهلاك_عملاء_حاويات_شجن.html) against:
1. The Excel ledger (Clients/01_Shajan_Containers/تقرير الإيجارات من 01 01 حتى 26 09 2026.xlsx)
2. The 18-page certified PDF statement (Clients/01_Shajan_Containers/تقرير الإيجارات من 01 01 حتى 30 09 2026.pdf)
TEST &amp; RECONCILIATION WORKSTREAMS:
1. SCOPE &amp; TIMEFRAME RECONCILIATION (Worker B - Muse Spark 1.3 &amp; Codex GPT-5.6):
   - Baseline Scope Check: Excel covers 01-01-2026 to 26-09-2026 (929 rows). PDF covers the full month up to 30-09-2026 (957 rows).
   - Apple-to-Apple Window (01-01 to 26-09): Reconcile the exact 6 delta rows between Excel (929 rows) and Dashboard (923 rows).
   - In Full Month (to 30/09): Verify all 957 PDF rows parse with 100% fidelity.
2. FINANCIAL &amp; VAT CONSISTENCY AUDIT (Worker B - Muse Spark 1.3):
   - Verify: Gross = Net + VAT across every row and aggregated KPIs.
   - For 18-page PDF: Verify Gross is 486,017.50 SAR with explicit VAT accumulation of 31,175.11 SAR.
   - For Excel: Verify Gross is 510,296.65 SAR (Net 468,568.48 + VAT 41,728.17 SAR).
3. CONTAINER SIZES &amp; CLIENT RANKING RECONCILIATION (Worker D - agcli):
   - Proportional Sizes: Verify 20-yard dominance (~89%), 12-yard (~8%), and 30-yard (~3%) align across Excel, PDF, and Chart.js.
   - Top Clients Ranking: Verify identical order: 1st Belda, 2nd GIO, 3rd Abu Tamim, 4th Tawajud, 5th Abaad.
4. STRICT FRIDAY EXCLUSION INVARIANT:
   - FRIDAY IS NEVER COUNTED AS A WORKING DAY under any circumstances.
   - getWorkingDays() must strictly omit Fridays (cur.getDay() === 5).
   - Verify September 2026 working days equals exactly 26 days (30 calendar days minus 4 Fridays).
EXCLUSIVE TESTING MONOPOLY &amp; QUALITY GATE:
As Claude Code CLI, execute automated headless assertions, compare values programmatically, inspect visual chart rendering, and grant the final [APPROVED] verdict once zero discrepancies remain.</t>
        </is>
      </c>
      <c r="D14" s="78" t="inlineStr">
        <is>
          <t>برومبت مهندس لقيادة أسطول الـ CLIs بالكامل لإجراء فحص وتدقيق رياضي وبصري دقيق للوحة تحليلات شجن ومقارنة أرقام ورسوم ملف الإكسيل مع ملف الـ PDF لنفس البيانات والتحقق من استبعاد يوم الجمعة.</t>
        </is>
      </c>
    </row>
  </sheetData>
  <pageMargins left="0.7" right="0.7" top="0.75" bottom="0.75" header="0.3" footer="0.3"/>
  <pageSetup orientation="landscape" paperSize="3"/>
</worksheet>
</file>

<file path=xl/worksheets/sheet22.xml><?xml version="1.0" encoding="utf-8"?>
<worksheet xmlns="http://schemas.openxmlformats.org/spreadsheetml/2006/main">
  <sheetPr codeName="Sheet14">
    <outlinePr summaryBelow="1" summaryRight="1"/>
    <pageSetUpPr/>
  </sheetPr>
  <dimension ref="A1:D2"/>
  <sheetViews>
    <sheetView topLeftCell="A7" workbookViewId="0">
      <selection activeCell="M19" sqref="M19"/>
    </sheetView>
  </sheetViews>
  <sheetFormatPr baseColWidth="8" defaultRowHeight="14.4"/>
  <cols>
    <col width="6" customWidth="1" style="55" min="1" max="1"/>
    <col width="30" customWidth="1" style="55" min="2" max="2"/>
    <col width="60" customWidth="1" style="55" min="3" max="3"/>
    <col width="30" customWidth="1" style="55" min="4" max="4"/>
  </cols>
  <sheetData>
    <row r="1" ht="40.2" customHeight="1" s="55">
      <c r="A1" s="60" t="inlineStr">
        <is>
          <t>No</t>
        </is>
      </c>
      <c r="B1" s="60" t="inlineStr">
        <is>
          <t>Name</t>
        </is>
      </c>
      <c r="C1" s="60" t="inlineStr">
        <is>
          <t>Prompt</t>
        </is>
      </c>
      <c r="D1" s="60" t="inlineStr">
        <is>
          <t>Notes or description</t>
        </is>
      </c>
    </row>
    <row r="2" ht="409.6" customHeight="1" s="55">
      <c r="A2" s="63" t="n">
        <v>1</v>
      </c>
      <c r="B2" s="63" t="inlineStr">
        <is>
          <t>برومبت ملتقى محكم التقني (خدمة القرآن الكريم)</t>
        </is>
      </c>
      <c r="C2" s="63" t="inlineStr">
        <is>
          <t># برومبت إعداد خطة الاستعداد وابتكار حلول تقنية لخدمة القرآن الكريم
## 1. السياق (Context)
أنا مهندس برمجيات ومطور تطبيقات أعمل على مشروع تقني حقيقي يسمى "تاج الوقار (Taj Al-Waqar)"، وهو تطبيق أندرويد احترافي يهدف لمتابعة وتدوين سجلات حلقات تحفيظ القرآن الكريم. يعتمد التطبيق على بنية معمارية حديثة (Clean Architecture)، ويطبق مفهوم العمل دون اتصال بالإنترنت أولاً (Offline-First) باستخدام قاعدة بيانات Room ومزامنتها سحابياً مع PocketBase عبر الـ WorkManager، ويسعى للتطور ليصبح نظاماً متكاملاً يخدم المعاهد والقرى والمساجد.
سأحضر اليوم اجتماعاً تفاعلياً تقنياً يسمى "ملتقى مُحْكَم التقني" يضم متخصصين في مجالات البرمجة، والذكاء الاصطناعي، والأمن السيبراني، بهدف بناء مجتمع تقني يخدم القرآن الكريم والدعوة.
## 2. الهدف (Objective)
1. بناء خطة استعداد سريعة وعملية للمشاركة بفاعلية في الجلسة التي ستبدأ قريباً.
2. اقتراح 4 أفكار تقنية ريادية لخدمة القرآن الكريم، تركز على حلول برمجية حقيقية تتجاوز المشاريع التقليدية المكررة، وتتوافق مع رؤية ومعمارية مشروعي الحالي "تاج الوقار".
## 3. المخرجات المطلوبة (Deliverables)
- خطة استعداد شخصية للجلسة (تتضمن التعريف الشخصي السريع، وأسئلة مقترحة للنقاش).
- قائمة بالأفكار التقنية مع شرح مبسط للمشكلة التي تحلها الفكرة، والحل التقني المقترح، والتقنيات المستخدمة.</t>
        </is>
      </c>
      <c r="D2" s="63" t="inlineStr">
        <is>
          <t>خطة الاستعداد لملتقى محكم</t>
        </is>
      </c>
    </row>
    <row r="3" ht="21" customHeight="1" s="55"/>
    <row r="4" ht="21" customHeight="1" s="55"/>
    <row r="5" ht="21" customHeight="1" s="55"/>
    <row r="6" ht="21" customHeight="1" s="55"/>
    <row r="7" ht="21" customHeight="1" s="55"/>
    <row r="8" ht="21" customHeight="1" s="55"/>
    <row r="9" ht="21" customHeight="1" s="55"/>
    <row r="10" ht="21" customHeight="1" s="55"/>
    <row r="11" ht="21" customHeight="1" s="55"/>
    <row r="12" ht="21" customHeight="1" s="55"/>
    <row r="13" ht="21" customHeight="1" s="55"/>
    <row r="14" ht="21" customHeight="1" s="55"/>
    <row r="15" ht="21" customHeight="1" s="55"/>
    <row r="16" ht="21" customHeight="1" s="55"/>
    <row r="17" ht="21" customHeight="1" s="55"/>
    <row r="18" ht="21" customHeight="1" s="55"/>
    <row r="19" ht="409.6" customHeight="1" s="55"/>
  </sheetData>
  <pageMargins left="0.7" right="0.7" top="0.75" bottom="0.75" header="0.3" footer="0.3"/>
</worksheet>
</file>

<file path=xl/worksheets/sheet23.xml><?xml version="1.0" encoding="utf-8"?>
<worksheet xmlns="http://schemas.openxmlformats.org/spreadsheetml/2006/main">
  <sheetPr codeName="Sheet15">
    <outlinePr summaryBelow="1" summaryRight="1"/>
    <pageSetUpPr/>
  </sheetPr>
  <dimension ref="A1:F3"/>
  <sheetViews>
    <sheetView topLeftCell="A2" workbookViewId="0">
      <selection activeCell="D2" sqref="D2"/>
    </sheetView>
  </sheetViews>
  <sheetFormatPr baseColWidth="8" defaultRowHeight="14.4"/>
  <cols>
    <col width="6" bestFit="1" customWidth="1" style="55" min="1" max="1"/>
    <col width="30" bestFit="1" customWidth="1" style="55" min="2" max="2"/>
    <col width="60" customWidth="1" style="55" min="3" max="3"/>
    <col width="30" customWidth="1" style="55" min="4" max="4"/>
  </cols>
  <sheetData>
    <row r="1" ht="40.2" customHeight="1" s="55">
      <c r="A1" s="60" t="inlineStr">
        <is>
          <t>No</t>
        </is>
      </c>
      <c r="B1" s="60" t="inlineStr">
        <is>
          <t>Name</t>
        </is>
      </c>
      <c r="C1" s="60" t="inlineStr">
        <is>
          <t>Prompt</t>
        </is>
      </c>
      <c r="D1" s="60" t="inlineStr">
        <is>
          <t>Notes or description</t>
        </is>
      </c>
    </row>
    <row r="2" ht="409.6" customHeight="1" s="55">
      <c r="A2" s="63" t="n">
        <v>1</v>
      </c>
      <c r="B2" s="63" t="inlineStr">
        <is>
          <t xml:space="preserve"> محرك برمجي تلقائي للفحص والتحسين الذاتي لمخرجات الذكاء الاصطناعي.
"سديد" هي مكتبة برمجية ذكية ومستقلة مصممة للعمل كـ "مراقب جودة آلي داخلي" لمخرجات نماذج اللغة الكبيرة (LLMs). تعتمد الأداة على خوارزمية حلقة التغذية الراجعة المغلقة (Closed-Loop Feedback) لاعتراض النصوص البرمجية واللغوية الصادرة من الذكاء الاصطناعي، والتحقق الفوري من مطابقتها لقيود التنسيق الصارمة (مثل اتجاه النص RTL، وتناسق الأرقام، وحدود الأطوال)، مع القدرة على تصحيح الأخطاء ذاتياً في الخلفية أو توليد تقارير أخطاء مهندسة (Feedback Prompts) لإرشاد النموذج لتصحيح نفسه تلقائياً دون تدخل بشري.</t>
        </is>
      </c>
      <c r="C2" s="63" t="inlineStr">
        <is>
          <t>قم بفحص هذا النص برمجياً باستخدام محرك سديد</t>
        </is>
      </c>
      <c r="D2" s="63" t="inlineStr">
        <is>
          <t>from refinement import SelfRefinementEngine
# 1. تهيئة المحرك وتحديد قيود مشروعك الجديد
engine = SelfRefinementEngine(
    check_rtl=True,        # هل ترغب في فحص اتجاه اللغة العربية؟
    min_length=100,        # الحد الأدنى لطول المخرجات
    max_length=3000,       # الحد الأقصى لطول المخرجات
    allow_mixed_digits=False # منع خلط الأرقام العربية والهندية
)
# 2. فحص وتصحيح النص المولد تلقائياً
result = engine.refine_loop("نص مخرجات الذكاء الاصطناعي هنا")
if result["success"]:
    # النص النهائي المصحح والمطابق لكافة الشروط
    final_clean_text = result["final_text"] 
    print("تم الفحص والقبول بنجاح!")
else:
    # في حال فشل الفحص بعد عدة محاولات، يمكنك رؤية برومبت التوجيه لإرساله للذكاء الاصطناعي
    print(result["report"]["feedback_prompt"])</t>
        </is>
      </c>
    </row>
    <row r="3" ht="21" customHeight="1" s="55"/>
    <row r="4" ht="42" customHeight="1" s="55"/>
    <row r="5" ht="21" customHeight="1" s="55"/>
    <row r="6" ht="21" customHeight="1" s="55"/>
    <row r="7" ht="21" customHeight="1" s="55"/>
  </sheetData>
  <mergeCells count="1">
    <mergeCell ref="D3:F3"/>
  </mergeCells>
  <pageMargins left="0.7" right="0.7" top="0.75" bottom="0.75" header="0.3" footer="0.3"/>
</worksheet>
</file>

<file path=xl/worksheets/sheet24.xml><?xml version="1.0" encoding="utf-8"?>
<worksheet xmlns="http://schemas.openxmlformats.org/spreadsheetml/2006/main">
  <sheetPr codeName="Sheet16">
    <outlinePr summaryBelow="1" summaryRight="1"/>
    <pageSetUpPr/>
  </sheetPr>
  <dimension ref="A1:F3"/>
  <sheetViews>
    <sheetView workbookViewId="0">
      <selection activeCell="B9" sqref="B9"/>
    </sheetView>
  </sheetViews>
  <sheetFormatPr baseColWidth="8" defaultRowHeight="14.4"/>
  <cols>
    <col width="6" bestFit="1" customWidth="1" style="55" min="1" max="1"/>
    <col width="30" bestFit="1" customWidth="1" style="55" min="2" max="2"/>
    <col width="60" customWidth="1" style="55" min="3" max="3"/>
    <col width="30" customWidth="1" style="55" min="4" max="4"/>
  </cols>
  <sheetData>
    <row r="1" ht="40.2" customHeight="1" s="55">
      <c r="A1" s="60" t="inlineStr">
        <is>
          <t>No</t>
        </is>
      </c>
      <c r="B1" s="60" t="inlineStr">
        <is>
          <t>Name</t>
        </is>
      </c>
      <c r="C1" s="60" t="inlineStr">
        <is>
          <t>Prompt</t>
        </is>
      </c>
      <c r="D1" s="60" t="inlineStr">
        <is>
          <t>Notes or description</t>
        </is>
      </c>
    </row>
    <row r="2" ht="210" customHeight="1" s="55">
      <c r="A2" s="63" t="n">
        <v>1</v>
      </c>
      <c r="B2" s="63" t="inlineStr">
        <is>
          <t>Egyptian Arabic Dialect</t>
        </is>
      </c>
      <c r="C2" s="63" t="inlineStr">
        <is>
          <t>[ROLE]
Act as an expert assistant.
[TASK]
i want to make the narrator talk in the Egyptian Arabic dialect
[FORMATTING]
Provide a clear, detailed, and structured response.</t>
        </is>
      </c>
      <c r="D2" s="63" t="inlineStr">
        <is>
          <t>برومبت نبرة الصوت باللهجة المصرية</t>
        </is>
      </c>
    </row>
    <row r="3" ht="21" customHeight="1" s="55"/>
    <row r="4" ht="42" customHeight="1" s="55"/>
    <row r="5" ht="21" customHeight="1" s="55"/>
    <row r="6" ht="21" customHeight="1" s="55"/>
    <row r="7" ht="21" customHeight="1" s="55"/>
  </sheetData>
  <mergeCells count="1">
    <mergeCell ref="D3:F3"/>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E37"/>
  <sheetViews>
    <sheetView rightToLeft="1" tabSelected="1" topLeftCell="A31" workbookViewId="0">
      <selection activeCell="D33" sqref="D33"/>
    </sheetView>
  </sheetViews>
  <sheetFormatPr baseColWidth="8" defaultRowHeight="14.4"/>
  <cols>
    <col width="8" customWidth="1" style="29" min="1" max="1"/>
    <col width="32" customWidth="1" style="29" min="2" max="2"/>
    <col width="52" customWidth="1" style="29" min="3" max="3"/>
    <col width="75" customWidth="1" style="29" min="4" max="4"/>
    <col width="8.88671875" customWidth="1" style="29" min="5" max="8"/>
    <col width="8.88671875" customWidth="1" style="29" min="9" max="16384"/>
  </cols>
  <sheetData>
    <row r="1" ht="28.05" customHeight="1" s="55">
      <c r="A1" s="10" t="inlineStr">
        <is>
          <t>No</t>
        </is>
      </c>
      <c r="B1" s="10" t="inlineStr">
        <is>
          <t>اسم الأمر / الوظيفة</t>
        </is>
      </c>
      <c r="C1" s="10" t="inlineStr">
        <is>
          <t>الأمر البرمجي / الموجه (Command / Prompt)</t>
        </is>
      </c>
      <c r="D1" s="10" t="inlineStr">
        <is>
          <t>الوصف والاستخدام (Description &amp; Notes)</t>
        </is>
      </c>
    </row>
    <row r="2" ht="45" customHeight="1" s="55">
      <c r="A2" s="67" t="n">
        <v>1</v>
      </c>
      <c r="B2" s="68" t="inlineStr">
        <is>
          <t>المساعدة وعرض الأوامر</t>
        </is>
      </c>
      <c r="C2" s="69" t="inlineStr">
        <is>
          <t>/help</t>
        </is>
      </c>
      <c r="D2" s="70" t="inlineStr">
        <is>
          <t>يعرض قائمة بجميع الأوامر المتاحة وتلميحات الاستخدام داخل الجلسة.</t>
        </is>
      </c>
      <c r="E2" s="83" t="n"/>
    </row>
    <row r="3" ht="45" customHeight="1" s="55">
      <c r="A3" s="67" t="n">
        <v>2</v>
      </c>
      <c r="B3" s="68" t="inlineStr">
        <is>
          <t>بدء محادثة جديدة نظيفة</t>
        </is>
      </c>
      <c r="C3" s="69" t="inlineStr">
        <is>
          <t>/clear</t>
        </is>
      </c>
      <c r="D3" s="70" t="inlineStr">
        <is>
          <t>إعادة ضبط المحادثة وسياق الذاكرة مع بقاء تعليمات وقواعد CLAUDE.md نشطة.</t>
        </is>
      </c>
      <c r="E3" s="83" t="n"/>
    </row>
    <row r="4" ht="45" customHeight="1" s="55">
      <c r="A4" s="67" t="n">
        <v>3</v>
      </c>
      <c r="B4" s="68" t="inlineStr">
        <is>
          <t>ضغط سياق المحادثة</t>
        </is>
      </c>
      <c r="C4" s="69" t="inlineStr">
        <is>
          <t>/compact</t>
        </is>
      </c>
      <c r="D4" s="70" t="inlineStr">
        <is>
          <t>تلخيص المحادثة لتقليل استهلاك التوكنز والذاكرة، مع إمكانية تحديد محور التركيز مثل /compact focus on auth.</t>
        </is>
      </c>
      <c r="E4" s="83" t="n"/>
    </row>
    <row r="5" ht="45" customHeight="1" s="55">
      <c r="A5" s="67" t="n">
        <v>4</v>
      </c>
      <c r="B5" s="68" t="inlineStr">
        <is>
          <t>عرض استهلاك السياق التفاعلي</t>
        </is>
      </c>
      <c r="C5" s="69" t="inlineStr">
        <is>
          <t>/context</t>
        </is>
      </c>
      <c r="D5" s="70" t="inlineStr">
        <is>
          <t>عرض رسم بياني يوضح استهلاك نافذة السياق وتوزيع التوكنز بين الملفات والمحادثة.</t>
        </is>
      </c>
      <c r="E5" s="83" t="n"/>
    </row>
    <row r="6" ht="45" customHeight="1" s="55">
      <c r="A6" s="67" t="n">
        <v>5</v>
      </c>
      <c r="B6" s="68" t="inlineStr">
        <is>
          <t>مستعرض الفروقات البرمجية</t>
        </is>
      </c>
      <c r="C6" s="69" t="inlineStr">
        <is>
          <t>/diff</t>
        </is>
      </c>
      <c r="D6" s="70" t="inlineStr">
        <is>
          <t>فتح عارض تفاعلي لفحص التغييرات والتعديلات غير المحفوظة في الكود.</t>
        </is>
      </c>
      <c r="E6" s="83" t="n"/>
    </row>
    <row r="7" ht="45" customHeight="1" s="55">
      <c r="A7" s="67" t="n">
        <v>6</v>
      </c>
      <c r="B7" s="68" t="inlineStr">
        <is>
          <t>تبديل نموذج الذكاء الاصطناعي</t>
        </is>
      </c>
      <c r="C7" s="69" t="inlineStr">
        <is>
          <t>/model</t>
        </is>
      </c>
      <c r="D7" s="70" t="inlineStr">
        <is>
          <t>التبديل بين Sonnet و Opus و Haiku أثناء تشغيل الجلسة مع إمكانية كتابة /model sonnet مباشرة.</t>
        </is>
      </c>
      <c r="E7" s="83" t="n"/>
    </row>
    <row r="8" ht="45" customHeight="1" s="55">
      <c r="A8" s="67" t="n">
        <v>7</v>
      </c>
      <c r="B8" s="68" t="inlineStr">
        <is>
          <t>حساب التكلفة والتوكنز</t>
        </is>
      </c>
      <c r="C8" s="69" t="inlineStr">
        <is>
          <t>/cost</t>
        </is>
      </c>
      <c r="D8" s="70" t="inlineStr">
        <is>
          <t>عرض إجمالي التوكنز المستهلكة في الجلسة والتكلفة المالية المقدرة.</t>
        </is>
      </c>
      <c r="E8" s="83" t="n"/>
    </row>
    <row r="9" ht="45" customHeight="1" s="55">
      <c r="A9" s="67" t="n">
        <v>8</v>
      </c>
      <c r="B9" s="68" t="inlineStr">
        <is>
          <t>عرض حالة وحساب الجلسة</t>
        </is>
      </c>
      <c r="C9" s="69" t="inlineStr">
        <is>
          <t>/status</t>
        </is>
      </c>
      <c r="D9" s="70" t="inlineStr">
        <is>
          <t>عرض رقم الإصدار الحالي، النموذج النشط، وحالة الحساب والمنظمة.</t>
        </is>
      </c>
      <c r="E9" s="83" t="n"/>
    </row>
    <row r="10" ht="45" customHeight="1" s="55">
      <c r="A10" s="67" t="n">
        <v>9</v>
      </c>
      <c r="B10" s="68" t="inlineStr">
        <is>
          <t>فحص وتشخيص البيئة</t>
        </is>
      </c>
      <c r="C10" s="69" t="inlineStr">
        <is>
          <t>/doctor</t>
        </is>
      </c>
      <c r="D10" s="70" t="inlineStr">
        <is>
          <t>فحص صحة اتصال الـ CLI، صلاحيات الملفات، وحالة خوادم MCP والأدوات.</t>
        </is>
      </c>
      <c r="E10" s="83" t="n"/>
    </row>
    <row r="11" ht="45" customHeight="1" s="55">
      <c r="A11" s="67" t="n">
        <v>10</v>
      </c>
      <c r="B11" s="68" t="inlineStr">
        <is>
          <t>مراجعة وتدقيق التغييرات</t>
        </is>
      </c>
      <c r="C11" s="69" t="inlineStr">
        <is>
          <t>/review</t>
        </is>
      </c>
      <c r="D11" s="70" t="inlineStr">
        <is>
          <t>فحص شامل للتعديلات الأخيرة في الفرع الحالي ومقارنتها بمعايير الكود النظيف.</t>
        </is>
      </c>
      <c r="E11" s="83" t="n"/>
    </row>
    <row r="12" ht="45" customHeight="1" s="55">
      <c r="A12" s="67" t="n">
        <v>11</v>
      </c>
      <c r="B12" s="68" t="inlineStr">
        <is>
          <t>تعديل ذاكرة المشروع</t>
        </is>
      </c>
      <c r="C12" s="69" t="inlineStr">
        <is>
          <t>/memory</t>
        </is>
      </c>
      <c r="D12" s="70" t="inlineStr">
        <is>
          <t>فتح وإدارة ملفات الذاكرة والقواعد CLAUDE.md المطبقة محلياً وعالمياً.</t>
        </is>
      </c>
      <c r="E12" s="83" t="n"/>
    </row>
    <row r="13" ht="45" customHeight="1" s="55">
      <c r="A13" s="67" t="n">
        <v>12</v>
      </c>
      <c r="B13" s="68" t="inlineStr">
        <is>
          <t>تهيئة مستودع جديد</t>
        </is>
      </c>
      <c r="C13" s="69" t="inlineStr">
        <is>
          <t>/init</t>
        </is>
      </c>
      <c r="D13" s="70" t="inlineStr">
        <is>
          <t>مسح وتحليل بنية المشروع وتوليد ملف CLAUDE.md تلقائياً.</t>
        </is>
      </c>
      <c r="E13" s="83" t="n"/>
    </row>
    <row r="14" ht="45" customHeight="1" s="55">
      <c r="A14" s="67" t="n">
        <v>13</v>
      </c>
      <c r="B14" s="68" t="inlineStr">
        <is>
          <t>سؤال جانبي سريع</t>
        </is>
      </c>
      <c r="C14" s="69" t="inlineStr">
        <is>
          <t>/btw [سؤالك]</t>
        </is>
      </c>
      <c r="D14" s="70" t="inlineStr">
        <is>
          <t>طرح استفسار أو سؤال جانبي دون مقاطعة المهمة أو الكود الجاري تنفيذه.</t>
        </is>
      </c>
      <c r="E14" s="83" t="n"/>
    </row>
    <row r="15" ht="45" customHeight="1" s="55">
      <c r="A15" s="67" t="n">
        <v>14</v>
      </c>
      <c r="B15" s="68" t="inlineStr">
        <is>
          <t>الإبلاغ عن خطأ وملاحظة</t>
        </is>
      </c>
      <c r="C15" s="69" t="inlineStr">
        <is>
          <t>/bug</t>
        </is>
      </c>
      <c r="D15" s="70" t="inlineStr">
        <is>
          <t>إرسال تقرير خطأ أو مشكلة تقنية مصحوباً بسجل الجلسة للمطورين.</t>
        </is>
      </c>
      <c r="E15" s="83" t="n"/>
    </row>
    <row r="16" ht="45" customHeight="1" s="55">
      <c r="A16" s="67" t="n">
        <v>15</v>
      </c>
      <c r="B16" s="68" t="inlineStr">
        <is>
          <t>إدارة إعدادات الأداة</t>
        </is>
      </c>
      <c r="C16" s="69" t="inlineStr">
        <is>
          <t>/config</t>
        </is>
      </c>
      <c r="D16" s="70" t="inlineStr">
        <is>
          <t>عرض وتعديل إعدادات التهيئة للأداة ومسارات العمل والأذونات.</t>
        </is>
      </c>
      <c r="E16" s="83" t="n"/>
    </row>
    <row r="17" ht="45" customHeight="1" s="55">
      <c r="A17" s="67" t="n">
        <v>16</v>
      </c>
      <c r="B17" s="68" t="inlineStr">
        <is>
          <t>تسجيل الدخول للحساب</t>
        </is>
      </c>
      <c r="C17" s="69" t="inlineStr">
        <is>
          <t>/login</t>
        </is>
      </c>
      <c r="D17" s="70" t="inlineStr">
        <is>
          <t>توثيق وتسجيل الدخول بحساب Anthropic أو تفعيل اشتراك Claude Pro/Team.</t>
        </is>
      </c>
      <c r="E17" s="83" t="n"/>
    </row>
    <row r="18" ht="45" customHeight="1" s="55">
      <c r="A18" s="67" t="n">
        <v>17</v>
      </c>
      <c r="B18" s="68" t="inlineStr">
        <is>
          <t>تسجيل الخروج</t>
        </is>
      </c>
      <c r="C18" s="69" t="inlineStr">
        <is>
          <t>/logout</t>
        </is>
      </c>
      <c r="D18" s="70" t="inlineStr">
        <is>
          <t>إنهاء الجلسة ومسح مفاتيح المصادقة المخزنة محلياً.</t>
        </is>
      </c>
      <c r="E18" s="83" t="n"/>
    </row>
    <row r="19" ht="45" customHeight="1" s="55">
      <c r="A19" s="67" t="n">
        <v>18</v>
      </c>
      <c r="B19" s="68" t="inlineStr">
        <is>
          <t>تشغيل الوضع غير التفاعلي</t>
        </is>
      </c>
      <c r="C19" s="69" t="inlineStr">
        <is>
          <t>claude -p "prompt"</t>
        </is>
      </c>
      <c r="D19" s="70" t="inlineStr">
        <is>
          <t>تمرير برومبت مباشر وتنفيذه من سطر الأوامر دون فتح الجلسة التفاعلية.</t>
        </is>
      </c>
      <c r="E19" s="83" t="n"/>
    </row>
    <row r="20" ht="45" customHeight="1" s="55">
      <c r="A20" s="67" t="n">
        <v>19</v>
      </c>
      <c r="B20" s="68" t="inlineStr">
        <is>
          <t>استئناف الجلسة السابقة</t>
        </is>
      </c>
      <c r="C20" s="69" t="inlineStr">
        <is>
          <t>claude --resume</t>
        </is>
      </c>
      <c r="D20" s="70" t="inlineStr">
        <is>
          <t>استعادة الجلسة السابقة ومواصلة العمل من آخر نقطة توقف.</t>
        </is>
      </c>
      <c r="E20" s="83" t="n"/>
    </row>
    <row r="21" ht="45" customHeight="1" s="55">
      <c r="A21" s="67" t="n">
        <v>20</v>
      </c>
      <c r="B21" s="68" t="inlineStr">
        <is>
          <t>تجاوز طلب الأذونات للأتمتة</t>
        </is>
      </c>
      <c r="C21" s="69" t="inlineStr">
        <is>
          <t>claude --dangerously-skip-permissions</t>
        </is>
      </c>
      <c r="D21" s="70" t="inlineStr">
        <is>
          <t>تشغيل كلود بنمط الأتمتة الكامل دون طلب تأكيد بشري لكل أمر (يستخدم في البيئات المعزولة).</t>
        </is>
      </c>
      <c r="E21" s="83" t="n"/>
    </row>
    <row r="22" ht="45" customHeight="1" s="55">
      <c r="A22" s="67" t="n">
        <v>21</v>
      </c>
      <c r="B22" s="68" t="inlineStr">
        <is>
          <t xml:space="preserve">طلب تقرير الاسطول </t>
        </is>
      </c>
      <c r="C22" s="69" t="inlineStr">
        <is>
          <t xml:space="preserve"> make a report in arabic pdf about waht the fleet done</t>
        </is>
      </c>
      <c r="D22" s="70" t="inlineStr">
        <is>
          <t xml:space="preserve"> fleet report </t>
        </is>
      </c>
      <c r="E22" s="83" t="n"/>
    </row>
    <row r="23" ht="45" customHeight="1" s="55">
      <c r="A23" s="67" t="n">
        <v>22</v>
      </c>
      <c r="B23" s="68" t="inlineStr">
        <is>
          <t>رومبت التكليف التفاعلي المباشر (لصقه في طرفية Claude Code)</t>
        </is>
      </c>
      <c r="C23" s="69" t="inlineStr">
        <is>
          <t># 🌊 AUTONOMOUS WAVE EXECUTION &amp; VERIFICATION DIRECTIVE
**Target:** Claude Code CLI (Opus Max — Master Orchestrator &amp; Sole Test Authority)
**Workspace:** `f:\AI PROJECTS\Claude+Antigravity -production\taj_al_waqar_global`
**Governing Documents:** Read the current `FLEET_QUEUE_WAVE&lt;N&gt;.md`, `FLEET_LOG.md` (tail 50 lines), and `MEMORY_STORE.md`.
**Execution Protocol:**
1. **Analyze:** Inspect the newly authored production code under `lib/` and verify clean static analysis.
2. **Author Tests:** Build comprehensive unit and widget tests under `test/` exercising all newly added domain contracts and presentation widgets.
3. **Execute Test Suite:** Run `C:\flutter_sdk\bin\flutter test --concurrency=1` and verify all tests pass (0 failures, 0 regressions).
4. **Certification:** Record the formal ADR in `MEMORY_STORE.md` (Arabic RTL) and grant the official sign-off verdict `[APPROVED TO SHIP]` in `FLEET_LOG.md`.
Please read the active queue file and proceed autonomously!</t>
        </is>
      </c>
      <c r="D23" s="70" t="inlineStr">
        <is>
          <t>الاستخدام: عند رغبتك في إطلاق أو استكمال أي موجة برمجية داخل طرفية كلود.</t>
        </is>
      </c>
      <c r="E23" s="83" t="n"/>
    </row>
    <row r="24" ht="45" customHeight="1" s="55">
      <c r="A24" s="67" t="n">
        <v>23</v>
      </c>
      <c r="B24" s="68" t="inlineStr">
        <is>
          <t>2. برومبت تفعيل التشغيل الآلي في الخلفية (إرساله لـ Antigravity):</t>
        </is>
      </c>
      <c r="C24" s="69" t="inlineStr">
        <is>
          <t># 🚀 ACTIVATE AUTONOMOUS FLEET BACKGROUND ORCHESTRATION
Antigravity, please take full autonomous control in the background:
1. Review the current state of `FLEET_LOG.md` and active `FLEET_QUEUE_WAVEx.md`.
2. Implement all required domain, data, and presentation files for the current wave under `lib/`.
3. Verify static analysis (`flutter analyze` -&gt; 0 issues).
4. Schedule and coordinate verification, logging, and ADR documentation in `MEMORY_STORE.md`.
5. Keep the recurring background monitoring active every 30 minutes until the entire roadmap is completed.</t>
        </is>
      </c>
      <c r="D24" s="70" t="inlineStr">
        <is>
          <t xml:space="preserve">الاستخدام: عندما تريد أن يتولى Antigravity إدارة وتشغيل الأسطول في الخلفية دون أن تفتح أي طرفية.
</t>
        </is>
      </c>
      <c r="E24" s="83" t="n"/>
    </row>
    <row r="25" ht="45" customHeight="1" s="55">
      <c r="A25" s="67" t="n">
        <v>24</v>
      </c>
      <c r="B25" s="68" t="inlineStr">
        <is>
          <t>🌟 البرومبت الشامل والذاتي العام (Universal Autonomous Fleet Engine Prompt)</t>
        </is>
      </c>
      <c r="C25" s="69" t="inlineStr">
        <is>
          <t># ==============================================================================
# UNIVERSAL AUTONOMOUS FLEET ENGINE (MASTER RECURSIVE DIRECTIVE)
# ==============================================================================
ROLE: Master Orchestrator (Claude Code CLI — Opus Max)
FRAMEWORK: Multi-Agent Fleet Orchestration Engine (CLAUDE.md §6 &amp; fleet_config.json)
## MISSION OBJECTIVE
Operate as an autonomous, self-directed orchestrator. Read the active state files, dynamically identify pending tasks, dispatch delegate CLIs as subprocesses via your terminal, verify deliverables, and advance the project through all waves continuously without requiring manual human relay.
## STEP-BY-STEP RECURSIVE WORKFLOW
### STEP 1: READ ACTIVE STATE &amp; LOCATE THE POINTER
1. Read `fleet_config.json` -&gt; Identify the active milestone, active wave queue, and agent matrix.
2. Read the latest `FLEET_LOG.md` -&gt; Determine which tasks have been completed and verified.
3. Read the active `FLEET_QUEUE_*.md` -&gt; Locate the first pending (uncompleted) task.
### STEP 2: DYNAMIC TASK DISPATCH (DIRECT TERMINAL SUBPROCESS)
Based on the pending task's assigned track and owner:
- IF task belongs to Track A (Antigravity / agy - UI, Presentation, Domain):
  -&gt; Execute Antigravity CLI directly via terminal:
     `agy "&lt;DELEGATE_PROMPT_FROM_QUEUE&gt;"` (or python wrapper)
- IF task belongs to Track B (OpenCode - DB, Remote, Sync, CLI Scripts):
  -&gt; Execute OpenCode CLI directly via terminal:
     `opencode run -m google/gemini-2.5-flash "&lt;DELEGATE_PROMPT_FROM_QUEUE&gt;"`
- Ensure all delegate tasks enforce `flutter analyze = 0 issues` and preserve `INV-1` (no delegate test execution).
### STEP 3: AUDIT &amp; TEST VERIFICATION (SOLE TEST AUTHORITY)
Once delegate tasks in a wave are delivered:
1. Update matching test suites in `test/**` where required.
2. Execute full verification: `flutter test --concurrency=1` and `flutter analyze`.
3. If errors occur: Isolate, fix, or re-delegate until 100% green.
4. Record sign-off in `FLEET_LOG.md` (Template 03: Devil's Advocate Audit).
### STEP 4: WAVE PROGRESSION &amp; RECURSION
1. Issue the Wave Completion Report in `FLEET_LOG.md`.
2. Generate the next wave queue (`FLEET_QUEUE_WAVEXX.md`) with explicit task bounds.
3. Update `fleet_config.json` active milestone pointer.
4. **RECURSE TO STEP 1 IMMEDIATELY** and start the next wave autonomously.
## HARD STOPS (HALT ONLY IF):
- Unresolvable architectural deadlock or contradictory governance invariant.
- Missing external credentials/secrets that require coordinator decision.
- Entire milestone goals fully accomplished with all tests green.
Begin the autonomous orchestration cycle now.</t>
        </is>
      </c>
      <c r="D25" s="70" t="inlineStr">
        <is>
          <t>يكتشف الخطوة التالية بنفسه: يقرأ FLEET_LOG.md فيرى أن مهام Track A انتهت، فينتقل تلقائياً لـ Track B ويشغل opencode run، ثم يختبر الكود ويعتمد الموجة ويفتح الموجة التالية فوراً! 🚀</t>
        </is>
      </c>
      <c r="E25" s="83" t="n"/>
    </row>
    <row r="26" ht="45" customHeight="1" s="55">
      <c r="A26" s="67" t="n">
        <v>25</v>
      </c>
      <c r="B26" s="68" t="inlineStr">
        <is>
          <t>Push Claude to get ready to make "/clear"</t>
        </is>
      </c>
      <c r="C26" s="69" t="inlineStr">
        <is>
          <t>should I make /clear now?</t>
        </is>
      </c>
      <c r="D26" s="70" t="n"/>
      <c r="E26" s="83" t="n"/>
    </row>
    <row r="27" ht="45" customHeight="1" s="55">
      <c r="A27" s="67" t="n">
        <v>26</v>
      </c>
      <c r="B27" s="68" t="inlineStr">
        <is>
          <t>Monitor agy context</t>
        </is>
      </c>
      <c r="C27" s="69" t="inlineStr">
        <is>
          <t>ag-context</t>
        </is>
      </c>
      <c r="D27" s="70" t="n"/>
      <c r="E27" s="83" t="n"/>
    </row>
    <row r="28" ht="45" customHeight="1" s="55">
      <c r="A28" s="67" t="n">
        <v>27</v>
      </c>
      <c r="B28" s="68" t="inlineStr">
        <is>
          <t>🧠 Antigravity IDE: Strategic Fleet Advisor (المستشار التقني والاستراتيجي للأسطول)</t>
        </is>
      </c>
      <c r="C28" s="69" t="inlineStr">
        <is>
          <t># Antigravity IDE: Strategic Fleet Advisor &amp; Technical Consultant Mode
بصفتك الموجه والاستشاري الاستراتيجي الأول للمشروع (Chief Technical Advisor &amp; Fleet Consultant) في بيئة Antigravity IDE، تبدأ هذه الجلسة وتستمر وفقاً للبروتوكول المعماري التالي:
## 1. هويتك وموقعك في أسطول الوكلاء (Role &amp; Hierarchy)
- أنت شريك البرمجة والمستشار الهندسي المباشر لي (إبراهيم).
- محرك التنفيذ الميداني للمهام وبوابات الاختبار هو **Claude Code CLI (Master Orchestrator - Opus Max)**، وتعاونه طرفياً أداة **OpenCode CLI (Meta Muse Spark 1.3)**.
- دورك الحصري والمحوري هو: **تحليل مخرجات وردود Claude Code بدقة، تشريح الـ Diffs، فحص بوابات الجودة، وتوليد أفضل وأدق الأوامر التكليفية باللغة الإنجليزية لتوجيه كلود بها لمواصلة استكمال تطوير المشروع بأعلى كفاءة وبدون أي تراجع (Zero Regression).**
## 2. قواعد التشغيل والتحليل التلقائي (Operational Directives)
عندما أشاركك رداً أو تقريراً صادراً من Claude Code CLI، التزم فوراً بالخطوات الثلاث التالية:
1. **التشخيص الهندسي (Technical Diagnosis):**
   - تحديد الإنجاز الفعلي المحقق (Commits / Branches / Tests).
   - رصد أي تعليق أو عائق بيئي (ذاكرة، قرص، قيود B-20، مكتبات ناقصة، أو هلوسة في التقارير).
2. **القرار الاستراتيجي (Strategic Priority):**
   - تحديد الخيار الأمثل والخطوة التالية على المسار الحرج للمشروع (Critical Path)، وتفضيل الحلول الجذرية على الترقيعات السطحية.
   - ترشيد استهلاك كوتا النماذج العليا وتفويض المهام الروتينية والتوثيق لـ OpenCode CLI.
3. **صياغة الأمر الجاهز للنسخ (The Exact Copy-Paste Command):**
   - توليد أمر برمجي وتكليفي فائق الدقة باللغة الإنجليزية داخل Code Block مستقل.
   - يجب أن يتضمن الأمر: التعليمات المتسلسلة، أرقام الكوميتات، معايير القبول الصارمة، وقيود الذاكرة والبيئة.
## 3. معايير التواصل والتنسيق (Communication Rules)
- التحليل والشرح موجه لي باللغة العربية الفصحى الفنية بتنسيق RTL سليم داخل `&lt;div dir="rtl"&gt;`.
- المصطلحات التقنية وأسماء الفئات تبقى بالإنجليزية دون تعريب (`Kotlin Multiplatform`, `AudioEngine`, `Quality Gate`, إلخ).
- الأوامر الموجهة لـ Claude Code CLI تكون **باللغة الإنجليزية حصراً** ومصاغة بأسلوب مهني صارم.
- المتابعة المستمرة لنظافة الجلسة ورصد استهلاك التوكنز بأداة `ag-context`.
أكد جاهزيتك فوراً لتقلد دور الموجه الاستراتيجي للأسطول لنبدأ العمل!</t>
        </is>
      </c>
      <c r="D28" s="70" t="inlineStr">
        <is>
          <t>برومبت استراتيجي لتحويل Antigravity IDE إلى مستشار هندسي وموجه أول يحلل مخرجات وتقارير Claude Code بدقة، يشرح الـ Diffs وبوابات الجودة، ويولد أوامر التكليف بالإنجليزية للأسطول.</t>
        </is>
      </c>
      <c r="E28" s="83" t="n"/>
    </row>
    <row r="29" ht="45" customHeight="1" s="55">
      <c r="A29" s="67" t="n">
        <v>28</v>
      </c>
      <c r="B29" s="68" t="inlineStr">
        <is>
          <t>📊 ag-context: Antigravity Context &amp; Token Monitor (أداة قياس ومراقبة استهلاك السياق والتوكنز)</t>
        </is>
      </c>
      <c r="C29" s="69" t="inlineStr">
        <is>
          <t># فحص سريع لاستهلاك السياق الحالي ونسبة الامتلاء
ag-context
# تشغيل وضع المراقبة اللحظية المباشرة مع كل رد
ag-context -w
# عرض سجل وتاريخ آخر 5 خطوات بالتفصيل
ag-context -H 5
# إخراج بيانات التوكنز بتنسيق JSON برمجياً
ag-context -j</t>
        </is>
      </c>
      <c r="D29" s="70" t="inlineStr">
        <is>
          <t>أداة سريعة لقياس حجم سياق المحادثة (Context Tokens)، تفكير النموذج (Thinking)، والمخرجات بدقة 100% مباشرة من قاعدة بيانات جلسات Antigravity IDE، مع دعم المراقبة اللحظية والتاريخ وJSON.</t>
        </is>
      </c>
      <c r="E29" s="83" t="n"/>
    </row>
    <row r="30" ht="45" customHeight="1" s="55">
      <c r="A30" s="67" t="n">
        <v>29</v>
      </c>
      <c r="B30" s="68" t="inlineStr">
        <is>
          <t>🧭 Antigravity Context Window Strategic Advisor (مستشار إدارة نافذة السياق وترشيد التوكنز)</t>
        </is>
      </c>
      <c r="C30" s="69" t="inlineStr">
        <is>
          <t xml:space="preserve"># استشارة استراتيجية سريعة حول حالة نافذة السياق والقرار الهندسي السليم
context-advisor
# أو عبر راية المراقبة المباشرة في ag-context
ag-context -a
# أو في المحادثة مع الوكيل في أي وقت:
# "مستشار السياق" / "إدارة السياق" / "ترشيد السياق" / "قرارات السياق" </t>
        </is>
      </c>
      <c r="D30" s="70" t="inlineStr">
        <is>
          <t>خطاف وأداة الاستشارة الاستراتيجية لتحليل استهلاك السياق في Antigravity IDE وتحديد منطقة الأمان (خضراء/صفراء/برتقالية/حمراء) واقتراح القرار الأمثل (استمرار/ترشيد/ضغط/تصفير استراتيجي).</t>
        </is>
      </c>
      <c r="E30" s="83" t="n"/>
    </row>
    <row r="31" ht="45" customHeight="1" s="55">
      <c r="A31" s="67" t="n">
        <v>30</v>
      </c>
      <c r="B31" s="68" t="inlineStr">
        <is>
          <t>🏛️ الدستور المعماري الموحد والمدخل المزدوج للأسطول (Dual-Entry Fleet Architecture Protocol)</t>
        </is>
      </c>
      <c r="C31" s="69" t="inlineStr">
        <is>
          <t>فعل بروتوكول المدخل المزدوج والدستور المعماري الموحد (AGENTS.md &amp; CLAUDE.md):
1) اعتماد AGENTS.md كمرجع مركزي موحد لكافة بيئات الذكاء الاصطناعي (Codex, OpenCode, Cursor, Antigravity) واستيراده في CLAUDE.md لـ Claude Code.
2) تمثيل الركائز الثلاث بالتساوي (التسويق الرقمي MCC 576-627-3068، حلول الذكاء الاصطناعي و FastMCP/n8n، وهندسة التطبيقات).
3) تفعيل جدول التوجيه الفوري (Instant Task Router) وتحديد مناطق الحجر الصحي للملفات الحساسة.</t>
        </is>
      </c>
      <c r="D31" s="70" t="inlineStr">
        <is>
          <t>تأسيس المعمارية القياسية للمشاريع متعددة الوكلاء والـ CLIs عبر المدخل المزدوج الذكي، وضمان قراءة القواعد ذاتياً عبر كافة المنصات مع توجيه المهام وحماية الخصوصية طبقاً للقرار 19.</t>
        </is>
      </c>
      <c r="E31" s="83" t="n"/>
    </row>
    <row r="32" ht="45" customHeight="1" s="55">
      <c r="A32" s="67" t="n">
        <v>31</v>
      </c>
      <c r="B32" s="68" t="inlineStr">
        <is>
          <t>gheras</t>
        </is>
      </c>
      <c r="C32" s="69" t="inlineStr">
        <is>
          <t>You are operating as the Master Orchestrator, Staff Architect, and Sole Testing Authority of the Autovemtech fleet (governed by CLAUDE.md, @AGENTS.md, @fleet_config.json, and @CURRENT_STATE.md).
Mission: Execute Phase 1 Design &amp; Implementation for Clients/03_GHERAS_Center (EduTrack Pro), transforming the Luna 5.6 MVP (Clients/03_GHERAS_Center/تطبيق غراس.html) into a production-grade educational platform adhering strictly to the approved scope in @Clients/03_GHERAS_Center/06_Contracts_Invoices/GHERAS_GRAND_SLAM_OFFER.md.
Mandatory Design &amp; Architectural Constraints:
1. Complete, refine, test, and secure the existing system; do NOT start from scratch.
2. Incorporate the Gheras Center official logo and visual identity (#0f8b8d Teal, #075f62 Dark Teal, #f57c00 Orange) across all 11 printable documents (receipt vouchers, guardian cards, excellence certificates, student reports, schedules).
3. Strictly bespoke for Gheras Center: Zero mention of multi-tenant leasing or internal agency tooling in client code or deliverables.
4. Web dashboard is for management training only; teachers interact via the mobile app.
5. Context Protection: NEVER read تطبيق غراس.html in full (mode='full'); inspect chunked line ranges only.
Fleet Delegation via Bash:
- Milestone 1 (Data Models &amp; Schemas): Delegate schema extraction and migrations to OpenCode Muse Spark:
  Bash("opencode run -m opencode-go/muse-spark-1.3-contributor \"Extract data models from Clients/03_GHERAS_Center/تطبيق غراس.html using chunked reads and build production PostgreSQL schema and SQLite/Room DAOs.\"")
- Milestone 2 (Web Dashboard &amp; 11 Printable Documents): Delegate UI scaffolding to OpenCode GLM 5.3 Flash:
  Bash("opencode run -m opencode-go/glm-5.3-flash \"Scaffold responsive web dashboard views and design high-fidelity templates for the 11 printable documents incorporating the Gheras logo placeholders and brand palette.\"")
- Milestone 3 (Evaluation Algorithms): Delegate homework camera OCR and grading logic to Codex:
  Bash("codex \"Implement camera image compression and homework evaluation logic for Gheras Center.\"")
- Sole Testing &amp; Approval (YOUR EXCLUSIVE MONOPOLY):
  Audit all generated diffs, execute syntax/lint checks and unit tests. Issue formal [APPROVED] verdict before committing.
State &amp; Memory Sync:
- Record key architectural decisions in @.agents/MEMORY_STORE.md.
- Update @CURRENT_STATE.md with milestone progress so Antigravity IDE can debrief the developer in Arabic.
- Proceed autonomously through the milestones.</t>
        </is>
      </c>
      <c r="D32" s="70" t="inlineStr">
        <is>
          <t>claude --dangerously-skip-permissions</t>
        </is>
      </c>
      <c r="E32" s="83" t="n"/>
    </row>
    <row r="33" ht="45" customHeight="1" s="55">
      <c r="A33" s="67" t="n">
        <v>32</v>
      </c>
      <c r="B33" s="68" t="inlineStr">
        <is>
          <t>🌱 تهيئة خريطة الكود وترشيد التوكنز عبر Graft (Init Codebase Context Map)</t>
        </is>
      </c>
      <c r="C33" s="69" t="inlineStr">
        <is>
          <t># 1. تثبيت الأداة عالمياً عبر npm
npm install -g @nanonets/graft
# 2. تهيئة المشروع وربطه مباشرة مع Claude Code
graft init --agents claude</t>
        </is>
      </c>
      <c r="D33" s="70" t="inlineStr">
        <is>
          <t>بناء خريطة سياقية معرفية مستدامة للأكواد في مجلد graft/ لترشيد استهلاك كوتا Claude Code والأسطول بنسبة 42% وتقليل استدعاءات الأدوات بنسبة 46% وتسريع الاستجابة 60% عبر التحليل الشجري الثابت ($0 tree-sitter AST).</t>
        </is>
      </c>
      <c r="E33" s="83" t="n"/>
    </row>
    <row r="34" ht="45" customHeight="1" s="55">
      <c r="A34" s="67" t="n">
        <v>33</v>
      </c>
      <c r="B34" s="68" t="inlineStr">
        <is>
          <t>⚡ تشغيل وتهيئة Graft المباشرة عبر npx (Graft One-Shot Run)</t>
        </is>
      </c>
      <c r="C34" s="69" t="inlineStr">
        <is>
          <t># تشغيلها مباشرة دون تثبيت عام عبر npx:
npx @nanonets/graft init</t>
        </is>
      </c>
      <c r="D34" s="70" t="inlineStr">
        <is>
          <t>تشغيل وتهيئة خريطة الكود وبناء مجلد graft/ وربط خطافات Claude Code مباشرة بنقرة واحدة دون الحاجة لتثبيت الحزمة عالمياً على النظام.</t>
        </is>
      </c>
      <c r="E34" s="83" t="n"/>
    </row>
    <row r="35" ht="45" customHeight="1" s="55">
      <c r="A35" s="67" t="n">
        <v>34</v>
      </c>
      <c r="B35" s="68" t="inlineStr">
        <is>
          <t>⚡ قيادة الأسطول: إطلاق عاملي GLM 5.3 Flash بالتوازي وتطهير الواجهات (Dual-GLM Parallel Fleet)</t>
        </is>
      </c>
      <c r="C35" s="69" t="inlineStr">
        <is>
          <t>Role: Master Orchestrator (Claude Code CLI / Opus Max)
Mission: Coordinate parallel fleet execution with dual GLM 5.3 Flash workers and enforce executive UI purification.
Directives:
1. Parallel Dual-GLM Execution:
   - Launch TWO parallel GLM 5.3 Flash workers concurrently across non-colliding tasks:
     * Worker A (OpenCode CLI): opencode run --auto -m opencode-go/glm-5.3-flash for terminal commands, data layers, or backend tasks.
     * Worker B (Cline CLI / Secondary OpenCode): cline or parallel instance on distinct files for UI scaffolding, component refactoring, or validation.
   - Ensure zero race conditions by assigning completely disjoint file sets to each worker.
2. Executive UI Sanitization Standard:
   - Purge all internal development tags, requirement IDs (Req 1-5, 'المتطلب'), and debug comments from client-facing web applications.
   - Convert all titles and labels to professional, business-grade Arabic terminology suitable for executive presentation.
3. Exclusive Quality &amp; Verification Gate:
   - Sole authority for testing, lint verification, and [APPROVED] architectural sign-offs remains with Claude Code CLI.</t>
        </is>
      </c>
      <c r="D35" s="70" t="inlineStr">
        <is>
          <t>أمر قيادة الأسطول الموجه لـ Claude Code CLI لإطلاق عاملي GLM 5.3 Flash بالتوازي لمهام متزامنة وتطبيق معيار التطهير التنفيذي للواجهات.</t>
        </is>
      </c>
      <c r="E35" s="83" t="n"/>
    </row>
    <row r="36" ht="45" customHeight="1" s="55">
      <c r="A36" s="67" t="n">
        <v>35</v>
      </c>
      <c r="B36" s="68" t="inlineStr">
        <is>
          <t>⚡ التوجيه الإلزامي لـ Claude لتشغيل عمال GLM 5.3 Flash بالتوازي (Multi-Worker Parallel Dispatch)</t>
        </is>
      </c>
      <c r="C36" s="69" t="inlineStr">
        <is>
          <t>Act as Master Orchestrator (Claude Opus Max). You are commanded to actively dispatch two or more GLM 5.3 Flash workers in parallel across non-colliding scopes:
1. Worker A (OpenCode CLI): &amp; opencode run -m opencode-go/glm-5.3-flash --auto "{task_A_prompt}"
2. Worker B (Cline CLI / Parallel OpenCode): &amp; cline "{task_B_prompt}" OR &amp; opencode run -m opencode-go/glm-5.3-flash --auto "{task_B_prompt}"
Decompose independent sub-tasks, launch workers simultaneously in background, enforce disjoint file paths, and retain exclusive authority for architecture reviews and test approvals [APPROVED].</t>
        </is>
      </c>
      <c r="D36" s="70" t="inlineStr">
        <is>
          <t>توجيه قيادي صارم يلزم Claude Code CLI (Opus Max) بتفكيك المهام البرمجية وتشغيل 2 إلى 4 عمال من نموذج GLM 5.3 Flash بالتوازي عبر OpenCode CLI و Cline CLI على مسارات ملفات غير متصادمة، مما يعظم سرعة الإنجاز بنسبة 300%+ ويحفظ ميزانية توكنز كلود للمراجعات المعمارية واحتكار الاختبارات حصرياً.</t>
        </is>
      </c>
      <c r="E36" s="83" t="n"/>
    </row>
    <row r="37">
      <c r="A37" s="67" t="n">
        <v>36</v>
      </c>
      <c r="B37" s="68" t="inlineStr">
        <is>
          <t>🧠 استشارة وتحكيم كلود المعماري المباشر للأسطول (Claude Headless Architectural Consultation &amp; Audit)</t>
        </is>
      </c>
      <c r="C37" s="69" t="inlineStr">
        <is>
          <t>cmd.exe /c "cd /d F:\AI PROJECTS\Autovemtech &amp;&amp; claude -p - &lt; scripts/claude_consultation_prompt.txt"</t>
        </is>
      </c>
      <c r="D37" s="70" t="inlineStr">
        <is>
          <t>تشغيل استدعاء استشاري مباشر في الخلفية لـ Claude Code CLI (Opus Max) تحت القيد [C-25] و [C-91] لتحكيم القرارات المعمارية الحساسة، فحص الثغرات (Devil's Advocate Audit)، وإصدار توجيهات الأسطول لحرق كوتا OpenCode Go واستغلالها دون استنزاف سياق واجهة المستخدم وبلا نسخ يدوي.</t>
        </is>
      </c>
    </row>
  </sheetData>
  <pageMargins left="0.75" right="0.75" top="1" bottom="1" header="0.5" footer="0.5"/>
  <pageSetup orientation="landscape" paperSize="3"/>
</worksheet>
</file>

<file path=xl/worksheets/sheet26.xml><?xml version="1.0" encoding="utf-8"?>
<worksheet xmlns="http://schemas.openxmlformats.org/spreadsheetml/2006/main">
  <sheetPr>
    <outlinePr summaryBelow="1" summaryRight="1"/>
    <pageSetUpPr/>
  </sheetPr>
  <dimension ref="A1:E21"/>
  <sheetViews>
    <sheetView rightToLeft="1" workbookViewId="0">
      <selection activeCell="A1" sqref="A1"/>
    </sheetView>
  </sheetViews>
  <sheetFormatPr baseColWidth="8" defaultRowHeight="14.4"/>
  <cols>
    <col width="8" customWidth="1" style="55" min="1" max="1"/>
    <col width="32" customWidth="1" style="55" min="2" max="2"/>
    <col width="52" customWidth="1" style="55" min="3" max="3"/>
    <col width="75" customWidth="1" style="55" min="4" max="4"/>
  </cols>
  <sheetData>
    <row r="1" ht="28.05" customHeight="1" s="55">
      <c r="A1" s="10" t="inlineStr">
        <is>
          <t>No</t>
        </is>
      </c>
      <c r="B1" s="10" t="inlineStr">
        <is>
          <t>اسم الأمر / الوظيفة</t>
        </is>
      </c>
      <c r="C1" s="10" t="inlineStr">
        <is>
          <t>الأمر البرمجي / الموجه (Command / Prompt)</t>
        </is>
      </c>
      <c r="D1" s="10" t="inlineStr">
        <is>
          <t>الوصف والاستخدام (Description &amp; Notes)</t>
        </is>
      </c>
    </row>
    <row r="2" ht="45" customHeight="1" s="55">
      <c r="A2" s="67" t="n">
        <v>1</v>
      </c>
      <c r="B2" s="68" t="inlineStr">
        <is>
          <t>العصف الذهني والتصميم التفاعلي</t>
        </is>
      </c>
      <c r="C2" s="69" t="inlineStr">
        <is>
          <t>Skill(superpowers:brainstorming)</t>
        </is>
      </c>
      <c r="D2" s="70" t="inlineStr">
        <is>
          <t>استبيان تفاعلي لاستكشاف متطلبات المستخدم وتصميم المعمارية قبل البدء في كتابة الأكواد.</t>
        </is>
      </c>
      <c r="E2" s="83" t="n"/>
    </row>
    <row r="3" ht="45" customHeight="1" s="55">
      <c r="A3" s="67" t="n">
        <v>2</v>
      </c>
      <c r="B3" s="68" t="inlineStr">
        <is>
          <t>كتابة خطط التنفيذ البرمجية</t>
        </is>
      </c>
      <c r="C3" s="69" t="inlineStr">
        <is>
          <t>Skill(superpowers:writing-plans)</t>
        </is>
      </c>
      <c r="D3" s="70" t="inlineStr">
        <is>
          <t>صياغة خطة عمل تفصيلية تتضمن متطلبات المراجعة، التعديلات المقترحة، وخطة التحقق والاختبار.</t>
        </is>
      </c>
      <c r="E3" s="83" t="n"/>
    </row>
    <row r="4" ht="45" customHeight="1" s="55">
      <c r="A4" s="67" t="n">
        <v>3</v>
      </c>
      <c r="B4" s="68" t="inlineStr">
        <is>
          <t>التطوير الموجه بالاختبارات (TDD)</t>
        </is>
      </c>
      <c r="C4" s="69" t="inlineStr">
        <is>
          <t>Skill(superpowers:test-driven-development)</t>
        </is>
      </c>
      <c r="D4" s="70" t="inlineStr">
        <is>
          <t>كتابة اختبارات الوحدة الفاشلة أولاً ثم كتابة كود الإنتاج الأدنى الكافي لاجتيازها بنجاح.</t>
        </is>
      </c>
      <c r="E4" s="83" t="n"/>
    </row>
    <row r="5" ht="45" customHeight="1" s="55">
      <c r="A5" s="67" t="n">
        <v>4</v>
      </c>
      <c r="B5" s="68" t="inlineStr">
        <is>
          <t>التحقق الصارم قبل التسليم</t>
        </is>
      </c>
      <c r="C5" s="69" t="inlineStr">
        <is>
          <t>Skill(superpowers:verification-before-completion)</t>
        </is>
      </c>
      <c r="D5" s="70" t="inlineStr">
        <is>
          <t>إلزام النموذج بتشغيل أوامر الفحص والـ Tests والتأكد من مخرجاتها قبل إعلان اكتمال المهمة.</t>
        </is>
      </c>
      <c r="E5" s="83" t="n"/>
    </row>
    <row r="6" ht="45" customHeight="1" s="55">
      <c r="A6" s="67" t="n">
        <v>5</v>
      </c>
      <c r="B6" s="68" t="inlineStr">
        <is>
          <t>التطوير عبر الوكلاء الفرعيين (SDD)</t>
        </is>
      </c>
      <c r="C6" s="69" t="inlineStr">
        <is>
          <t>Skill(superpowers:subagent-driven-development)</t>
        </is>
      </c>
      <c r="D6" s="70" t="inlineStr">
        <is>
          <t>تقسيم الخطة إلى مهام مستقلة وتوزيعها على وكلاء فرعيين متوازيين مع نقاط مراجعة.</t>
        </is>
      </c>
      <c r="E6" s="83" t="n"/>
    </row>
    <row r="7" ht="45" customHeight="1" s="55">
      <c r="A7" s="67" t="n">
        <v>6</v>
      </c>
      <c r="B7" s="68" t="inlineStr">
        <is>
          <t>منهجية تصحيح الأعطال المنهجية</t>
        </is>
      </c>
      <c r="C7" s="69" t="inlineStr">
        <is>
          <t>Skill(superpowers:systematic-debugging)</t>
        </is>
      </c>
      <c r="D7" s="70" t="inlineStr">
        <is>
          <t>معالجة الأعطال بـ 5 خطوات: إعادة الإنتاج -&gt; العزل -&gt; التحليل -&gt; الفرضية -&gt; التثبيت والتأكيد.</t>
        </is>
      </c>
      <c r="E7" s="83" t="n"/>
    </row>
    <row r="8" ht="45" customHeight="1" s="55">
      <c r="A8" s="67" t="n">
        <v>7</v>
      </c>
      <c r="B8" s="68" t="inlineStr">
        <is>
          <t>عزل العمل عبر Git Worktrees</t>
        </is>
      </c>
      <c r="C8" s="69" t="inlineStr">
        <is>
          <t>Skill(superpowers:using-git-worktrees)</t>
        </is>
      </c>
      <c r="D8" s="70" t="inlineStr">
        <is>
          <t>إنشاء مساحة عمل معزولة للميزات الجديدة لتفادي تلويث الفرع الرئيسي أثناء التطوير.</t>
        </is>
      </c>
      <c r="E8" s="83" t="n"/>
    </row>
    <row r="9" ht="45" customHeight="1" s="55">
      <c r="A9" s="67" t="n">
        <v>8</v>
      </c>
      <c r="B9" s="68" t="inlineStr">
        <is>
          <t>استقبال ومراجعة الكود</t>
        </is>
      </c>
      <c r="C9" s="69" t="inlineStr">
        <is>
          <t>Skill(superpowers:receiving-code-review)</t>
        </is>
      </c>
      <c r="D9" s="70" t="inlineStr">
        <is>
          <t>التعامل مع ملاحظات المراجعين البرمجيين والتحقق الفني الصارم قبل تطبيق التعديلات.</t>
        </is>
      </c>
      <c r="E9" s="83" t="n"/>
    </row>
    <row r="10" ht="45" customHeight="1" s="55">
      <c r="A10" s="67" t="n">
        <v>9</v>
      </c>
      <c r="B10" s="68" t="inlineStr">
        <is>
          <t>طلب مراجعة الكود قبل الدمج</t>
        </is>
      </c>
      <c r="C10" s="69" t="inlineStr">
        <is>
          <t>Skill(superpowers:requesting-code-review)</t>
        </is>
      </c>
      <c r="D10" s="70" t="inlineStr">
        <is>
          <t>توليد طلب فحص الجودة والأمان والتأكد من مطابقة الكود للمعايير قبل عمل الـ PR.</t>
        </is>
      </c>
      <c r="E10" s="83" t="n"/>
    </row>
    <row r="11" ht="45" customHeight="1" s="55">
      <c r="A11" s="67" t="n">
        <v>10</v>
      </c>
      <c r="B11" s="68" t="inlineStr">
        <is>
          <t>إنهاء ودمج فرع التطوير</t>
        </is>
      </c>
      <c r="C11" s="69" t="inlineStr">
        <is>
          <t>Skill(superpowers:finishing-a-development-branch)</t>
        </is>
      </c>
      <c r="D11" s="70" t="inlineStr">
        <is>
          <t>الخطوات الآمنة لدمج الفرع، تشغيل الاختبارات النهائية، وتنظيف بيئات العمل المؤقتة.</t>
        </is>
      </c>
      <c r="E11" s="83" t="n"/>
    </row>
    <row r="12" ht="45" customHeight="1" s="55">
      <c r="A12" s="67" t="n">
        <v>11</v>
      </c>
      <c r="B12" s="68" t="inlineStr">
        <is>
          <t>قالب تفويض كلود كمهندس وموجه (Orchestrator)</t>
        </is>
      </c>
      <c r="C12" s="69" t="inlineStr">
        <is>
          <t>[ROLE &amp; ARCHITECTURE: YOU ARE THE LEAD ORCHESTRATOR &amp; QA AUDITOR]
You are the Chief Software Architect and QA Gatekeeper adhering to amElnagdy/delegate-skills architecture. Antigravity IDE is your Fast Implementer.
OPERATING PROTOCOL:
1. ARCHITECT &amp; PLAN: Break feature into atomic tasks and issue a structured TASK BRIEF (Objective, touchedFiles, Verification Gates).
2. AUDIT &amp; TEST: When Antigravity submits code and diffs, independently inspect the code and run verification tests yourself.
3. FEEDBACK LOOP:
   - IF ISSUES FOUND: Issue a structured [CORRECTION DIRECTIVE] specifying the exact failure and required fix logic, and wait for Antigravity to fix.
   - IF VERIFIED &amp; GREEN: Issue [APPROVED], create the Git commit, and proceed to the next brief.</t>
        </is>
      </c>
      <c r="D12" s="70" t="inlineStr">
        <is>
          <t>قالب تكليف كلود كمهندس معماري ومدقق جودة، يقوم بإصدار المهام وتدقيق واختبار الكود بنفسه وإصدار توجيهات التصحيح حتى اجتياز الفحص 100%.</t>
        </is>
      </c>
      <c r="E12" s="83" t="n"/>
    </row>
    <row r="13" ht="45" customHeight="1" s="55">
      <c r="A13" s="67" t="n">
        <v>12</v>
      </c>
      <c r="B13" s="68" t="inlineStr">
        <is>
          <t>🎨 نظام واجهات ThreeUI ثلاثية الأبعاد (ThreeUI 3D Web Components)</t>
        </is>
      </c>
      <c r="C13" s="69" t="inlineStr">
        <is>
          <t>استدعِ مهارة [threeui-design-system] لبناء واجهة ويب ثلاثية الأبعاد تفاعلية: 1) إنشاء مشهد Three.js بطل (Hero Canvas) أو بطاقات Spatial Glassmorphism مع تفاعل مؤشر الفأرة (Mouse Orbit). 2) تطبيق تدرجات الشيدر المتوهجة وخلفيات الجسيمات بنمط النيون الداكن. 3) فرض معيار التنظيف الصارم للذاكرة (dispose geometries/materials/renderer) لمنع تسريب WebGL وتحقيق 60 FPS مع بديل متجاوب للهواتف.</t>
        </is>
      </c>
      <c r="D13" s="70" t="inlineStr">
        <is>
          <t>بناء واجهات ومكونات ويب ثلاثية الأبعاد غامرة وعالية الأداء بالاعتماد على معمارية Meng To ومكتبة ThreeUI مع الحفاظ الكامل على سهولة الوصول ومنع تسريب الذاكرة.</t>
        </is>
      </c>
      <c r="E13" s="83" t="n"/>
    </row>
    <row r="14" ht="45" customHeight="1" s="55">
      <c r="A14" s="67" t="n">
        <v>13</v>
      </c>
      <c r="B14" s="68" t="inlineStr">
        <is>
          <t>قيادة السبرنت الذاتي للأسطول عبر Claude Code Master Orchestrator 👑</t>
        </is>
      </c>
      <c r="C14" s="69" t="inlineStr">
        <is>
          <t>You are operating as the Master Orchestrator, Staff Architect, and Sole Testing Authority of the Autovemtech fleet (governed by CLAUDE.md, @AGENTS.md, @fleet_config.json, and @CURRENT_STATE.md).
Mission: Execute an uninterrupted 8-hour autonomous development sprint for Clients/03_GHERAS_Center (EduTrack Pro), transforming the Luna 5.6 MVP (Clients/03_GHERAS_Center/تطبيق غراس.html) into a production-grade educational platform.
Fleet Delegation via Bash:
1. Database &amp; Migrations: Delegate SQLite/Room schemas and DAOs to OpenCode Muse Spark:
   Bash("opencode run -m opencode-go/muse-spark-1.3-contributor \"...\"")
2. UI Scaffolding &amp; Web/Compose: Delegate UI generation to OpenCode GLM 5.3 Flash:
   Bash("opencode run -m opencode-go/glm-5.3-flash \"...\"")
3. Core Algorithms: Delegate homework evaluation &amp; complex grading to Codex:
   Bash("codex \"...\"")
4. Testing &amp; Quality Gates (YOUR EXCLUSIVE MONOPOLY):
   - You alone audit all diffs, run syntax/lint checks and unit tests.
   - Issue formal [APPROVED] verdict before committing.
Autonomous Operation &amp; Context Governance:
- Operate strictly within the Golden Sweet Spot (30k - 300k tokens).
- Inspect chunked line ranges of تطبيق غراس.html; BAN full-file reads (mode='full').
- When facing architectural alternatives, autonomously select the most robust production-grade pattern and document the rationale in @.agents/MEMORY_STORE.md.
- Update @CURRENT_STATE.md after each completed milestone so Antigravity IDE can debrief the developer in Arabic.</t>
        </is>
      </c>
      <c r="D14" s="70" t="inlineStr">
        <is>
          <t>الموجه القيادي لـ Claude Code CLI كـ Master Orchestrator لتشغيل سبرنت ذاتي (8 ساعات) دون انقطاع، مع تفويض المهام الروتينية لـ OpenCode و Codex، واحتكار الفحص والاعتماد لـ Claude، وتحديث CURRENT_STATE.md ليتمكن المطور من متابعة المنجزات عبر Antigravity IDE باللغة العربية.</t>
        </is>
      </c>
      <c r="E14" s="83" t="n"/>
    </row>
    <row r="15" ht="45" customHeight="1" s="55">
      <c r="A15" s="67" t="n">
        <v>14</v>
      </c>
      <c r="B15" s="68" t="inlineStr">
        <is>
          <t>🚀 نشر ومزامنة تحديثات الويب على خادم Hostinger VPS واختبار المعاينة (Deploy &amp; Smoke Test)</t>
        </is>
      </c>
      <c r="C15" s="69" t="inlineStr">
        <is>
          <t># [DEPLOY &amp; PREVIEW] EduTrack Pro to Hostinger VPS
# Target: Clients/03_GHERAS_Center/edutrack_pro -&gt; Hostinger VPS (187.55.226.225)
1. PRE-FLIGHT CHECK:
   - Verify JS syntax integrity in web/dashboard/js/ (app.js, views/home.js).
   - Check SSH key readiness (~/.ssh/vps_secure_key or ~/.ssh/id_ed25519) for host 187.55.226.225.
2. PUSH &amp; SYNC TREE:
   - Execute deployment runbook via Git Bash:
     bash deploy/push.sh root@187.55.226.225 gheras.autovem.tech -i ~/.ssh/vps_secure_key
   - Exclude sensitive artifacts (.env, pycache, .venv), syncing directly to /opt/edutrack on VPS.
3. VPS REBUILD &amp; CADDY RELOAD:
   - Ensure db &amp; api containers are healthy via docker-compose.prod.yml.
   - Validate Caddy configuration and reload service: caddy reload --config /etc/caddy/Caddyfile.
4. LIVE SMOKE TEST:
   - Verify API health: curl -fsSL https://gheras.autovem.tech/api/v1/health
   - Verify Dashboard HTTP 200: curl -fsSL -I https://gheras.autovem.tech/web/dashboard/
   - Verify Supervisor role restrictions on /staff, /reports, /notifications.
5. REPORT:
   - Print live preview URL: https://gheras.autovem.tech/web/dashboard/ with deployment verification summary.</t>
        </is>
      </c>
      <c r="D15" s="70" t="inlineStr">
        <is>
          <t>موجه هندسي مؤتمت لتنفيذ رفع ونشر تحديثات واجهة الويب لمنصة EduTrack Pro على سيرفر Hostinger VPS (187.55.226.225) لمركز غراس عبر Caddy و Docker، مع إجراء اختبارات الدخان (Smoke Test) والتحقق الحي من صلاحيات المشرفين وروابط المعاينة.</t>
        </is>
      </c>
      <c r="E15" s="83" t="n"/>
    </row>
    <row r="16" ht="45" customHeight="1" s="55">
      <c r="A16" s="67" t="n">
        <v>15</v>
      </c>
      <c r="B16" s="68" t="inlineStr">
        <is>
          <t>⚔️ المراجعة التنافسية الثنائية للـ PR (Two-Model PR Debate Review)</t>
        </is>
      </c>
      <c r="C16" s="69" t="inlineStr">
        <is>
          <t>Use $debate-review on this branch or PR to initiate an adversarial debate between review-main and review-debate lanes and produce inline P0/P1/P2 comments.</t>
        </is>
      </c>
      <c r="D16" s="70" t="inlineStr">
        <is>
          <t>محرك المراجعة التنافسية (debate-review): تشغيل نموذجين مختلفين لتمزيق النقاط العمياء ومناظرة كل ملاحظة قبل اعتمادها كتعليق سطري متفق عليه أو متنازع عليه.</t>
        </is>
      </c>
      <c r="E16" s="83" t="n"/>
    </row>
    <row r="17" ht="45" customHeight="1" s="55">
      <c r="A17" s="67" t="n">
        <v>16</v>
      </c>
      <c r="B17" s="68" t="inlineStr">
        <is>
          <t>🤖 معالج ومتابع ملاحظات الـ PR التلقائي (Autonomous PR Babysitter)</t>
        </is>
      </c>
      <c r="C17" s="69" t="inlineStr">
        <is>
          <t>Use $babysit-pr on this PR until all reviewer threads are verified, fixed, replied to in-thread, resolved, and ready for merge.</t>
        </is>
      </c>
      <c r="D17" s="70" t="inlineStr">
        <is>
          <t>وكيل المتابعة المستمرة (babysit-pr): حصاد كافة ملاحظات المراجعين على الـ PR، التحقق منها على الكود الحي، إصلاح المشاكل الحقيقية، والرد في الخيوط وإعادة الفحص حتى الدمج.</t>
        </is>
      </c>
      <c r="E17" s="83" t="n"/>
    </row>
    <row r="18" ht="45" customHeight="1" s="55">
      <c r="A18" s="67" t="n">
        <v>17</v>
      </c>
      <c r="B18" s="68" t="inlineStr">
        <is>
          <t>🚀 توجيه الأسطول لتطوير وإصلاح ميزات الويب (Fleet Feature Dispatch &amp; Fix)</t>
        </is>
      </c>
      <c r="C18" s="69" t="inlineStr">
        <is>
          <t>بسم الله. ابدأ الميزة. وجه الاسطول قم بإصلاح زر التنزيل في تطبيق الويب eduTrack Pro الخاص بالعميل مركز غراس</t>
        </is>
      </c>
      <c r="D18" s="70" t="inlineStr">
        <is>
          <t>أمر إطلاق وتوجيه أسطول الـ CLIs لبدء دورة هندسة وتدقيق الميزات في EduTrack Pro وفق بروتوكول الخطوة صفر وبوابة تدقيق Claude Code الحصرية.</t>
        </is>
      </c>
      <c r="E18" s="83" t="n"/>
    </row>
    <row r="19" ht="45" customHeight="1" s="55">
      <c r="A19" s="67" t="n">
        <v>18</v>
      </c>
      <c r="B19" s="68" t="inlineStr">
        <is>
          <t>🌊 توجيه الموجة المعمارية المستقلة والتوزيع المتوازي للأسطول (Google Stitch &amp; Operations Control)</t>
        </is>
      </c>
      <c r="C19" s="69" t="inlineStr">
        <is>
          <t># 🌊 AUTONOMOUS WAVE EXECUTION &amp; MULTI-AGENT PARALLEL DIRECTIVE\n\nTarget: Claude Code CLI (Opus Max — Master Orchestrator &amp; Sole Testing Monopoly)\nParallel Workers: OpenCode CLI (GLM 5.3 Flash), Cline CLI, Antigravity CLI (agcli)\nDesign Paradigm: Google Stitch &amp; Dribbble Operations Control (Micro-Sparklines, Icon Navigation Rail, Outcomes Matrix)\nWorkspace: f:\AI PROJECTS\Claude+Antigravity -production\taj_al_waqar_global\n\nExecution Protocol:\n1. Analyze: Inspect newly authored code under lib/ for clean static analysis.\n2. Author Tests: Comprehensive unit and widget tests under test/ for all domain contracts &amp; widgets.\n3. Execute Verification Suite: C:\flutter_sdk\bin\flutter test --concurrency=1 (0 failures, 0 regressions).\n4. Certification: Inscribe formal ADR in MEMORY_STORE.md and grant [APPROVED TO SHIP] in FLEET_LOG.md.</t>
        </is>
      </c>
      <c r="D19" s="70" t="inlineStr">
        <is>
          <t>موجه قيادي معتمد لتنفيذ موجات التطوير البرمجي بالأسطول المتوازي، مع الالتزام الصارم بمعايير Google Stitch ولوحات تحكم Dribbble ومونوپولي الاختبارات لكلود كود.</t>
        </is>
      </c>
      <c r="E19" s="83" t="n"/>
    </row>
    <row r="20">
      <c r="A20" s="67" t="n">
        <v>19</v>
      </c>
      <c r="B20" s="68" t="inlineStr">
        <is>
          <t>🧠 استشارة وتحكيم كلود المعماري المباشر للأسطول (Claude Headless Architectural Consultation &amp; Audit)</t>
        </is>
      </c>
      <c r="C20" s="69" t="inlineStr">
        <is>
          <t>cmd.exe /c "cd /d F:\AI PROJECTS\Autovemtech &amp;&amp; claude -p - &lt; scripts/claude_consultation_prompt.txt"</t>
        </is>
      </c>
      <c r="D20" s="70" t="inlineStr">
        <is>
          <t>تشغيل استدعاء استشاري مباشر في الخلفية لـ Claude Code CLI (Opus Max) تحت القيد [C-25] و [C-91] لتحكيم القرارات المعمارية الحساسة، فحص الثغرات (Devil's Advocate Audit)، وإصدار توجيهات الأسطول لحرق كوتا OpenCode Go واستغلالها دون استنزاف سياق واجهة المستخدم وبلا نسخ يدوي.</t>
        </is>
      </c>
    </row>
    <row r="21">
      <c r="A21" s="67" t="n">
        <v>20</v>
      </c>
      <c r="B21" s="68" t="inlineStr">
        <is>
          <t>⚡ مفوض واستهلاك كوتا OpenCode Go الموحد للأسطول (OpenCode Go Fleet Quota Maximizer &amp; Dispatcher)</t>
        </is>
      </c>
      <c r="C21" s="69" t="inlineStr">
        <is>
          <t>python tools/opencode_dispatcher.py --task "&lt;task_instructions&gt;" --model glm</t>
        </is>
      </c>
      <c r="D21" s="70" t="inlineStr">
        <is>
          <t>أداة التفويض المركزية لأسطول Autovemtech لحرق كوتا اشتراك OpenCode Go ($10 شهرياً) بالكامل، عبر إلقاء مهام كتابة البويلربليت، ترحيل قواعد البيانات، والمسائل الخوارزمية البديلة لكودكس على نماذج OpenCode Go الأربعة (GLM Flash, DeepSeek V4.1, Muse Spark, MiniMax) مع تسجيل السجلات في fleet_orders وتطبيق القيد [C-78] لحماية تدفق البث.</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9"/>
  <sheetViews>
    <sheetView rightToLeft="1" workbookViewId="0">
      <selection activeCell="C11" sqref="C11"/>
    </sheetView>
  </sheetViews>
  <sheetFormatPr baseColWidth="8" defaultRowHeight="14.4"/>
  <cols>
    <col width="8" customWidth="1" style="55" min="1" max="1"/>
    <col width="32" customWidth="1" style="55" min="2" max="2"/>
    <col width="52" customWidth="1" style="55" min="3" max="3"/>
    <col width="75" customWidth="1" style="55" min="4" max="4"/>
  </cols>
  <sheetData>
    <row r="1" ht="28.05" customHeight="1" s="55">
      <c r="A1" s="10" t="inlineStr">
        <is>
          <t>No</t>
        </is>
      </c>
      <c r="B1" s="10" t="inlineStr">
        <is>
          <t>اسم الأمر / الوظيفة</t>
        </is>
      </c>
      <c r="C1" s="10" t="inlineStr">
        <is>
          <t>الأمر البرمجي / الموجه (Command / Prompt)</t>
        </is>
      </c>
      <c r="D1" s="10" t="inlineStr">
        <is>
          <t>الوصف والاستخدام (Description &amp; Notes)</t>
        </is>
      </c>
    </row>
    <row r="2" ht="45" customHeight="1" s="55">
      <c r="A2" s="67" t="n">
        <v>1</v>
      </c>
      <c r="B2" s="68" t="inlineStr">
        <is>
          <t>حارس إثبات الحقائق</t>
        </is>
      </c>
      <c r="C2" s="69" t="inlineStr">
        <is>
          <t>Gate: [Fact-Forcing Gate]</t>
        </is>
      </c>
      <c r="D2" s="70" t="inlineStr">
        <is>
          <t>يمنع إنشاء أو تعديل أي ملف كودي إلا بعد فحص شجرة المشروع وإثبات عدم التكرار وصحة المسار.</t>
        </is>
      </c>
      <c r="E2" s="83" t="n"/>
    </row>
    <row r="3" ht="45" customHeight="1" s="55">
      <c r="A3" s="67" t="n">
        <v>2</v>
      </c>
      <c r="B3" s="68" t="inlineStr">
        <is>
          <t>حارس منع الإنهاء دون تحقق</t>
        </is>
      </c>
      <c r="C3" s="69" t="inlineStr">
        <is>
          <t>Gate: [Block-No-Verify Gate]</t>
        </is>
      </c>
      <c r="D3" s="70" t="inlineStr">
        <is>
          <t>يمنع إنهاء التذكرة أو ادعاء النجاح إذا لم يقم النموذج بتشغيل الاختبارات وإثبات صحة النتيجة.</t>
        </is>
      </c>
      <c r="E3" s="83" t="n"/>
    </row>
    <row r="4" ht="45" customHeight="1" s="55">
      <c r="A4" s="67" t="n">
        <v>3</v>
      </c>
      <c r="B4" s="68" t="inlineStr">
        <is>
          <t>خطاف بدء الجلسة</t>
        </is>
      </c>
      <c r="C4" s="69" t="inlineStr">
        <is>
          <t>Hook: session-start.js</t>
        </is>
      </c>
      <c r="D4" s="70" t="inlineStr">
        <is>
          <t>تهيئة المتغيرات، حقن القواعد البرمجية الصارمة، وضبط مسارات الأدوات عند فتح أي جلسة.</t>
        </is>
      </c>
      <c r="E4" s="83" t="n"/>
    </row>
    <row r="5" ht="45" customHeight="1" s="55">
      <c r="A5" s="67" t="n">
        <v>4</v>
      </c>
      <c r="B5" s="68" t="inlineStr">
        <is>
          <t>خطاف ما قبل الضغط</t>
        </is>
      </c>
      <c r="C5" s="69" t="inlineStr">
        <is>
          <t>Hook: pre-compact.js</t>
        </is>
      </c>
      <c r="D5" s="70" t="inlineStr">
        <is>
          <t>استخراج وتلخيص الدروس المستفادة والقرارات المعمارية وحفظها في الذاكرة قبل ضغط السياق.</t>
        </is>
      </c>
      <c r="E5" s="83" t="n"/>
    </row>
    <row r="6" ht="45" customHeight="1" s="55">
      <c r="A6" s="67" t="n">
        <v>5</v>
      </c>
      <c r="B6" s="68" t="inlineStr">
        <is>
          <t>خطاف حراسة الأوامر الطرفية</t>
        </is>
      </c>
      <c r="C6" s="69" t="inlineStr">
        <is>
          <t>Hook: before-shell-execution.js</t>
        </is>
      </c>
      <c r="D6" s="70" t="inlineStr">
        <is>
          <t>فحص الأوامر الطرفية واعتراض الأوامر الخطيرة لمنع حذف الملفات أو تسريب البيانات.</t>
        </is>
      </c>
      <c r="E6" s="83" t="n"/>
    </row>
    <row r="7" ht="45" customHeight="1" s="55">
      <c r="A7" s="67" t="n">
        <v>6</v>
      </c>
      <c r="B7" s="68" t="inlineStr">
        <is>
          <t>خطاف ما بعد تعديل الملفات</t>
        </is>
      </c>
      <c r="C7" s="69" t="inlineStr">
        <is>
          <t>Hook: after-file-edit.js</t>
        </is>
      </c>
      <c r="D7" s="70" t="inlineStr">
        <is>
          <t>تشغيل الفاحص اللغوي (Linter) أو منسق الأكواد آلياً فور تعديل أي ملف لضمان الاتساق.</t>
        </is>
      </c>
      <c r="E7" s="83" t="n"/>
    </row>
    <row r="8" ht="45" customHeight="1" s="55">
      <c r="A8" s="67" t="n">
        <v>7</v>
      </c>
      <c r="B8" s="68" t="inlineStr">
        <is>
          <t>خطاف بدء الوكلاء الفرعيين</t>
        </is>
      </c>
      <c r="C8" s="69" t="inlineStr">
        <is>
          <t>Hook: subagent-start.js</t>
        </is>
      </c>
      <c r="D8" s="70" t="inlineStr">
        <is>
          <t>تزويد الوكيل الفرعي بسياق المهمة المعزول وقواعد المشروع قبل بدء التنفيذ.</t>
        </is>
      </c>
      <c r="E8" s="83" t="n"/>
    </row>
    <row r="9" ht="45" customHeight="1" s="55">
      <c r="A9" s="67" t="n">
        <v>8</v>
      </c>
      <c r="B9" s="68" t="inlineStr">
        <is>
          <t>خطاف إيقاف الجلسة والإنهاء</t>
        </is>
      </c>
      <c r="C9" s="69" t="inlineStr">
        <is>
          <t>Hook: session-end.js</t>
        </is>
      </c>
      <c r="D9" s="70" t="inlineStr">
        <is>
          <t>أخذ لقطة لملف الـ Diff وتوثيق المنجزات تلقائياً في MEMORY_STORE.md قبل إغلاق الجلسة.</t>
        </is>
      </c>
      <c r="E9" s="83" t="n"/>
    </row>
    <row r="10" ht="45" customHeight="1" s="55">
      <c r="A10" s="67" t="n">
        <v>9</v>
      </c>
      <c r="B10" s="68" t="inlineStr">
        <is>
          <t>🧹 خطاف ترحيل وتطهير أدوات المحرر (Hook 28: Workspace Sanitizer)</t>
        </is>
      </c>
      <c r="C10" s="69" t="inlineStr">
        <is>
          <t>evacuate-tools --project "."</t>
        </is>
      </c>
      <c r="D10" s="70" t="inlineStr">
        <is>
          <t>فحص ومزامنة أدوات المحرر مع Global Config، وترحيل كافة الأدلة والمستندات والسكربتات إلى المستودع المركزي Claude+Antigravity بعد التحقق التشفيري SHA-256، وتنظيف مخلفات JVM لاستعادة نقاء سياق المشروع 100%.</t>
        </is>
      </c>
      <c r="E10" s="83" t="n"/>
    </row>
    <row r="11" ht="45" customHeight="1" s="55">
      <c r="A11" s="67" t="n">
        <v>10</v>
      </c>
      <c r="B11" s="68" t="inlineStr">
        <is>
          <t>🛡️ درع الفحص الأمني السداسي لكود الـ AI (Vibe Coding Security Shield)</t>
        </is>
      </c>
      <c r="C11" s="69" t="inlineStr">
        <is>
          <t>فعل خطاف الفحص الأمني ودرع Vibe Coding (خطاف 8) لفحص المشروع بالكامل عبر الركائز الست: 1) فحص كود المصدر عبر Semgrep لكشف ثغرات الحقن والمنطق. 2) مسح الأسرار والمفاتيح عبر Gitleaks ومنع تسريبها للـ Git history. 3) فحص التبعيات وصور Docker عبر Trivy لكشف ثغرات CVEs وتوليد الـ SBOM. 4) الفحص الديناميكي DAST عبر OWASP ZAP ضد نقاط الـ API والـ Web app. 5) فحص أخطاء البنية التحتية والـ Dockerfile عبر Checkov. 6) ضبط ملف renovate.json لأتمتة تحديث التبعيات عبر PRs.</t>
        </is>
      </c>
      <c r="D11" s="70" t="inlineStr">
        <is>
          <t>تفعيل منظومة الحماية المتكاملة لمطوري الـ AI والـ Vibe Coding لتأمين الأكواد والمفاتيح والتبعيات والحاويات والبنية التحتية قبل الرفع لبيئة الإنتاج.</t>
        </is>
      </c>
      <c r="E11" s="83" t="n"/>
    </row>
    <row r="12" ht="45" customHeight="1" s="55">
      <c r="A12" s="67" t="n">
        <v>11</v>
      </c>
      <c r="B12" s="68" t="inlineStr">
        <is>
          <t>🧹 تنظيم وهيكلة مسار مساحة العمل وتطهير الجذر (Workspace Path &amp; Root Sanitation)</t>
        </is>
      </c>
      <c r="C12" s="69" t="inlineStr">
        <is>
          <t>رتب المسار, نظم المجلد, ترتيب مسار
# التوجيه الهندسي الشامل:
فعل خطاف تنظيم مسار مساحة العمل (خطاف 17) ونظف جذر المشروع:
1) فحص وفرز الملفات التائهة وتصحيح المجلدات المطبعية وتوحيد شجرة العملاء.
2) إنشاء مجلد docs مخصص لعزل وثائق PDF الرسمية لحسابات المطورين وتكاملات المنصات.
3) أرشفة الشهادات التدريبية في مجلدات فرعية، وحذف ملفات القفل المؤقتة والمجلدات الفارغة.</t>
        </is>
      </c>
      <c r="D12" s="70" t="inlineStr">
        <is>
          <t>أمر نوعي لإعادة هيكلة وتطهير مسار مساحة العمل، فرز ملفات الـ PDF، تصحيح مسارات العملاء، وعزل وثائق الحسابات الرسمية والشهادات وفق المعيار 18 لمنع تلوث جذر المشروع.</t>
        </is>
      </c>
      <c r="E12" s="83" t="n"/>
    </row>
    <row r="13" ht="45" customHeight="1" s="55">
      <c r="A13" s="67" t="n">
        <v>12</v>
      </c>
      <c r="B13" s="68" t="inlineStr">
        <is>
          <t>🚀 تشغيل مستمع تليجرام لإيقاظ المحرر (Antigravity Telegram ACI Listener)</t>
        </is>
      </c>
      <c r="C13" s="69" t="inlineStr">
        <is>
          <t># تشغيل مستمع تليجرام في الخلفية لإيقاظ جلسة Antigravity IDE فور وصول الأوامر من الهاتف:
python "F:\AI PROJECTS\Claude+Antigravity\Telegram_Admin_Feature\poll_once.py" --takeover</t>
        </is>
      </c>
      <c r="D13" s="70" t="inlineStr">
        <is>
          <t>تشغيل مستمع تليجرام في الخلفية كـ Task مستقل لمراقبة الرسائل والأوامر الصوتية من الجوال، وحفظ الطلبات في telegram_request.json، وتحويل البصمات الصوتية OGG إلى WAV عبر PyAV، وإيقاظ Antigravity IDE تلقائياً بإشارة الأولوية القصوى لمعالجة الطلب والرد على الهاتف عبر send_reply.py.</t>
        </is>
      </c>
      <c r="E13" s="83" t="n"/>
    </row>
    <row r="14" ht="45" customHeight="1" s="55">
      <c r="A14" s="67" t="n">
        <v>13</v>
      </c>
      <c r="B14" s="68" t="inlineStr">
        <is>
          <t>🛡️ حراسة كود ووردبريس (WordPress Code Quality Guard)</t>
        </is>
      </c>
      <c r="C14" s="69" t="inlineStr">
        <is>
          <t>Use $wp-guard on the WordPress plugin/theme code you just produced to enforce escaping, sanitization, nonces, capabilities, and prepared queries before shipping.</t>
        </is>
      </c>
      <c r="D14" s="70" t="inlineStr">
        <is>
          <t>بوابة حراسة كود ووردبريس (wp-guard): فحص التعقيم والهروب، الـ Nonces، وصلاحيات المستخدم، وحماية استعلامات $wpdb-&gt;prepare، ودعم اللغات المتعددة i18n والأداء.</t>
        </is>
      </c>
      <c r="E14" s="83" t="n"/>
    </row>
    <row r="15" ht="45" customHeight="1" s="55">
      <c r="A15" s="67" t="n">
        <v>14</v>
      </c>
      <c r="B15" s="68" t="inlineStr">
        <is>
          <t>🛒 حراسة كود ووكومرس (WooCommerce Quality Guard)</t>
        </is>
      </c>
      <c r="C15" s="69" t="inlineStr">
        <is>
          <t>Use $woo-guard on the WooCommerce extension or checkout code you just produced to ensure HPOS CRUD compliance, server-side validation, and safe money calculations.</t>
        </is>
      </c>
      <c r="D15" s="70" t="inlineStr">
        <is>
          <t>بوابة حراسة ووكومرس (woo-guard): حراسة العمليات المالية، منع الالتفاف على كائنات HPOS CRUD، تأمين الـ Checkout ومطابقة معايير الدفع وتجنب استخدام الـ Floats للأموال.</t>
        </is>
      </c>
      <c r="E15" s="83" t="n"/>
    </row>
    <row r="16" ht="45" customHeight="1" s="55">
      <c r="A16" s="67" t="n">
        <v>15</v>
      </c>
      <c r="B16" s="68" t="inlineStr">
        <is>
          <t>🛡️ حارس النطاق والحد الأدنى الكافي (Scope Guard &amp; Minimal Change)</t>
        </is>
      </c>
      <c r="C16" s="69" t="inlineStr">
        <is>
          <t>Task: Enforce Scope Guard &amp; Minimal Sufficient Change Directive in &amp; 'F:\AI PROJECTS\Autovemtech\AGENTS.md' (Section 6). Complete task with smallest sufficient change while fixing root cause. No speculative abstractions or unapproved scope expansion. Enforce Claude Code testing monopoly.</t>
        </is>
      </c>
      <c r="D16" s="70" t="inlineStr">
        <is>
          <t>أمر تشغيلي ملزم لكافة وكلاء الأسطول يفرض إنجاز المهام بأصغر تغيير كافٍ مع معالجة الخلل من الجذر ومنع الترقيع السطحي، وتنسيق الفحص مع احتكار Claude للاختبارات وترشيد استهلاك السياق.</t>
        </is>
      </c>
      <c r="E16" s="83" t="n"/>
    </row>
    <row r="17" ht="45" customHeight="1" s="55">
      <c r="A17" s="67" t="n">
        <v>16</v>
      </c>
      <c r="B17" s="68" t="inlineStr">
        <is>
          <t>⚡ ترقية نماذج الأسطول للجيل 5.5 | Upgrade Fleet Models to 5.5 (Opus &amp; Sonnet)</t>
        </is>
      </c>
      <c r="C17" s="69" t="inlineStr">
        <is>
          <t>"تحديث نماذج الأسطول" / "upgrade fleet models"</t>
        </is>
      </c>
      <c r="D17" s="70" t="inlineStr">
        <is>
          <t>تفعيل الخطاف رقم 29 لمعايرة وترقية مصفوفة نماذج أسطول الـ CLIs لاعتماد Claude 5.5 Opus Max و Claude Sonnet 5.5 وتحديث قيود [C-11] و [C-21] و [C-38] وملفات fleet_config.json وسجلات الذاكرة.</t>
        </is>
      </c>
      <c r="E17" s="83" t="n"/>
    </row>
    <row r="18" ht="45" customHeight="1" s="55">
      <c r="A18" s="67" t="n">
        <v>17</v>
      </c>
      <c r="B18" s="68" t="inlineStr">
        <is>
          <t>📚 حزمة مهارات ومبادئ pstack للأسطول (pstack Fleet Engineering Suite &amp; Principles)</t>
        </is>
      </c>
      <c r="C18" s="69" t="inlineStr">
        <is>
          <t>Skill(pstack:unslop); Skill(pstack:blast-radius); Skill(pstack:arena); Skill(pstack:correct); Skill(pstack:create-verification-skill) / "استدعِ مهارات pstack" / "pstack suite"</t>
        </is>
      </c>
      <c r="D18" s="70" t="inlineStr">
        <is>
          <t>حزمة المهارات والمبادئ الهندسية الـ 12 المعتمدة من مستودع backnotprop/pstack للمهندسة Lauren Tan (فريق React Core ومطورة Meta/Netflix/Cursor السابقة) المعتمدة لأسطول Autovemtech لمكافحة الكود الهش وحشو الذكاء الاصطناعي (Anti-Slop AI Code)، وانضباط الحدود، ونظام الأنواع، وتطعيم الحلول المعمارية، وتثبيت الأخطاء في CI.</t>
        </is>
      </c>
      <c r="E18" s="83" t="n"/>
    </row>
    <row r="19" ht="45" customHeight="1" s="55">
      <c r="A19" s="67" t="n">
        <v>18</v>
      </c>
      <c r="B19" s="68" t="inlineStr">
        <is>
          <t>📖 دليل الاستخدام الشامل لمهارات pstack المعتمدة للأسطول (pstack Fleet Engineering Guide)</t>
        </is>
      </c>
      <c r="C19" s="69" t="inlineStr">
        <is>
          <t>view_file docs/PSTACK_FLEET_GUIDE.md / "دليل مهارات pstack" / "pstack fleet guide" / "عرض دليل pstack"</t>
        </is>
      </c>
      <c r="D19" s="70" t="inlineStr">
        <is>
          <t>الدليل الشامل لاستخدام واستدعاء مهارات ومبادئ pstack الـ 12 المعتمدة في أسطول Autovemtech لمكافحة حشو الكود (Anti-slop) وانضباط الحدود وتثبيت الاختبارات وتنافس النماذج، ومسارات العمل المعتمدة للأسطول.</t>
        </is>
      </c>
      <c r="E19" s="83" t="n"/>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0"/>
  <sheetViews>
    <sheetView rightToLeft="1" workbookViewId="0">
      <selection activeCell="A1" sqref="A1"/>
    </sheetView>
  </sheetViews>
  <sheetFormatPr baseColWidth="8" defaultRowHeight="14.4"/>
  <cols>
    <col width="8" customWidth="1" style="55" min="1" max="1"/>
    <col width="32" customWidth="1" style="55" min="2" max="2"/>
    <col width="52" customWidth="1" style="55" min="3" max="3"/>
    <col width="75" customWidth="1" style="55" min="4" max="4"/>
  </cols>
  <sheetData>
    <row r="1" ht="28.05" customHeight="1" s="55">
      <c r="A1" s="10" t="inlineStr">
        <is>
          <t>No</t>
        </is>
      </c>
      <c r="B1" s="10" t="inlineStr">
        <is>
          <t>اسم الأمر / الوظيفة</t>
        </is>
      </c>
      <c r="C1" s="10" t="inlineStr">
        <is>
          <t>الأمر البرمجي / الموجه (Command / Prompt)</t>
        </is>
      </c>
      <c r="D1" s="10" t="inlineStr">
        <is>
          <t>الوصف والاستخدام (Description &amp; Notes)</t>
        </is>
      </c>
    </row>
    <row r="2" ht="45" customHeight="1" s="55">
      <c r="A2" s="67" t="n">
        <v>1</v>
      </c>
      <c r="B2" s="68" t="inlineStr">
        <is>
          <t>البحث المعمق والاستكشاف</t>
        </is>
      </c>
      <c r="C2" s="69" t="inlineStr">
        <is>
          <t>Skill(superpowers:deep-research)</t>
        </is>
      </c>
      <c r="D2" s="70" t="inlineStr">
        <is>
          <t>البحث العميق في وثائق المكتبات، الأبحاث، والأكواد المصدرية لاستخراج الحلول المثلى.</t>
        </is>
      </c>
      <c r="E2" s="83" t="n"/>
    </row>
    <row r="3" ht="45" customHeight="1" s="55">
      <c r="A3" s="67" t="n">
        <v>2</v>
      </c>
      <c r="B3" s="68" t="inlineStr">
        <is>
          <t>حلقة التحقق المغلقة الذاتية</t>
        </is>
      </c>
      <c r="C3" s="69" t="inlineStr">
        <is>
          <t>Skill(superpowers:verification-loop)</t>
        </is>
      </c>
      <c r="D3" s="70" t="inlineStr">
        <is>
          <t>حلقة فحص ذاتية مغلقة تقوم باكتشاف أخطاء الترجمة والبناء وإصلاحها تلقائياً.</t>
        </is>
      </c>
      <c r="E3" s="83" t="n"/>
    </row>
    <row r="4" ht="45" customHeight="1" s="55">
      <c r="A4" s="67" t="n">
        <v>3</v>
      </c>
      <c r="B4" s="68" t="inlineStr">
        <is>
          <t>بناء وتطوير المهارات</t>
        </is>
      </c>
      <c r="C4" s="69" t="inlineStr">
        <is>
          <t>Skill(superpowers:writing-skills)</t>
        </is>
      </c>
      <c r="D4" s="70" t="inlineStr">
        <is>
          <t>إنشاء مهارات تخصصية جديدة مع وثائق SKILL.md وترويسة YAML قياسية وأمثلة تطبيقية.</t>
        </is>
      </c>
      <c r="E4" s="83" t="n"/>
    </row>
    <row r="5" ht="45" customHeight="1" s="55">
      <c r="A5" s="67" t="n">
        <v>4</v>
      </c>
      <c r="B5" s="68" t="inlineStr">
        <is>
          <t>الذاكرة المستدامة الموحدة</t>
        </is>
      </c>
      <c r="C5" s="69" t="inlineStr">
        <is>
          <t>Skill(superpowers:unified-memory)</t>
        </is>
      </c>
      <c r="D5" s="70" t="inlineStr">
        <is>
          <t>إدارة الذاكرة اللامركزية وحفظ الدروس والقرارات وتصدير السياق للوكلاء.</t>
        </is>
      </c>
      <c r="E5" s="83" t="n"/>
    </row>
    <row r="6" ht="45" customHeight="1" s="55">
      <c r="A6" s="67" t="n">
        <v>5</v>
      </c>
      <c r="B6" s="68" t="inlineStr">
        <is>
          <t>تحسين الأداء وإدارة الموارد</t>
        </is>
      </c>
      <c r="C6" s="69" t="inlineStr">
        <is>
          <t>Skill(superpowers:performance-optimizer)</t>
        </is>
      </c>
      <c r="D6" s="70" t="inlineStr">
        <is>
          <t>فحص اختناقات الأداء، منع عمليات إعادة الرسم في Compose، وضبط استهلاك الذاكرة.</t>
        </is>
      </c>
      <c r="E6" s="83" t="n"/>
    </row>
    <row r="7" ht="45" customHeight="1" s="55">
      <c r="A7" s="67" t="n">
        <v>6</v>
      </c>
      <c r="B7" s="68" t="inlineStr">
        <is>
          <t>التوزيع المتوازي للوكلاء</t>
        </is>
      </c>
      <c r="C7" s="69" t="inlineStr">
        <is>
          <t>Skill(superpowers:dispatching-parallel-agents)</t>
        </is>
      </c>
      <c r="D7" s="70" t="inlineStr">
        <is>
          <t>توزيع المهام الكبيرة على وكلاء فرعيين مستقلين وتجميع المخرجات بكفاءة وسرعة.</t>
        </is>
      </c>
      <c r="E7" s="83" t="n"/>
    </row>
    <row r="8" ht="45" customHeight="1" s="55">
      <c r="A8" s="67" t="n">
        <v>7</v>
      </c>
      <c r="B8" s="68" t="inlineStr">
        <is>
          <t>🚀 مستشار هورموزي لنمو البيزنس وصناعة العروض (Hormozi Business &amp; Offer Advisor)</t>
        </is>
      </c>
      <c r="C8" s="69" t="inlineStr">
        <is>
          <t>استدعِ وكيل مستشار هورموزي [hormozi-growth-advisor] لتحليل نموذج العمل الحالي وتطبيق أطر $100M: 1) صياغة Grand Slam Offer يطبق معادلة القيمة (تعظيم النتيجة المأمولة والاحتمالية وتقليص الوقت والجهد للصفر). 2) تحديد مرحلة المشروع الحالية ضمن مصفوفة التوسع الـ 10 مراحل (من Improvise إلى Capitalize) وحصر التركيز في أولويتها التكتيكية. 3) تطبيق دليل التسعير بالقيمة (Value-Based Pricing) أو خطة رفع الأسعار دون فقدان العملاء.</t>
        </is>
      </c>
      <c r="D8" s="70" t="inlineStr">
        <is>
          <t>استشارة استراتيجية وتكتيكية لنمو المشاريع الرقمية والبرمجية، هندسة العروض التي لا تُقاوم، وتحديد مرحلة التوسع ومضاعفة القيمة والإيرادات وفق منهجية أليكس هورموزي.</t>
        </is>
      </c>
      <c r="E8" s="83" t="n"/>
    </row>
    <row r="9" ht="45" customHeight="1" s="55">
      <c r="A9" s="67" t="n">
        <v>8</v>
      </c>
      <c r="B9" s="68" t="inlineStr">
        <is>
          <t>🎨🎬 مهندس برومبتات الصور والفيديو السينمائي (MeiGen Photorealism &amp; Prompt Architect)</t>
        </is>
      </c>
      <c r="C9" s="69" t="inlineStr">
        <is>
          <t>[ROLE]
Act as an elite Prompt Engineer &amp; Creative Director specializing in hyper-realistic AI imagery and cinematic video prompts (MeiGen Engine Standard).
[TASK]
Transform the user's raw concept, product, or scene description into a master prompt optimized for high-end generative AI engines (FLUX.1, Midjourney v6, SDXL, Runway Gen-3, Kling, Sora).
[ENGINEERING SPECIFICATIONS]
1. Subject &amp; Core Action: Crisp, vivid focal subject with emotional nuance and authentic micro-textures.
2. Photographic &amp; Lens Optics: Specify camera rig (e.g., Hasselblad H6D-100c, ARRI Alexa Mini LF, 85mm f/1.4 lens, shallow depth of field, natural bokeh).
3. Cinematic Lighting: Golden hour rim light, soft volumetric diffusion, Rembrandt lighting, or cinematic neon contrast with realistic light bounce.
4. Texture &amp; Materials: Subsurface scattering for skin, authentic cloth drape, photorealistic reflections, natural imperfections (zero plastic look).
5. Composition &amp; Framing: Rule of thirds, dynamic low/high angle, atmospheric haze, wide anamorphic 2.39:1 aspect ratio.
6. Negative &amp; Quality Constraints: 8K resolution, masterwork, hyper-detailed, award-winning cinematography, no extra limbs, no AI artifacts.
[OUTPUT FORMAT]
- Primary Image Prompt (Midjourney / FLUX standard with parameters --ar 16:9 --style raw --v 6.1)
- Video Motion Prompt (Camera movement + temporal coherence cues for Runway/Kling)
- Arabic Concept Translation &amp; Agency Usage Guide</t>
        </is>
      </c>
      <c r="D9" s="70" t="inlineStr">
        <is>
          <t>هندسة وتوليد برومبتات سينمائية فائقة الواقعية (8K Photorealism) للصور والفيديوهات الإعلانية لعملاء الوكالة استناداً لمعايير MeiGen.ai ومحركات FLUX و Midjourney و Runway، مع تحديد الكاميرا والإضاءة والعدسات بدقة احترافية.</t>
        </is>
      </c>
      <c r="E9" s="83" t="n"/>
    </row>
    <row r="10" ht="45" customHeight="1" s="55">
      <c r="A10" s="67" t="n">
        <v>9</v>
      </c>
      <c r="B10" s="68" t="inlineStr">
        <is>
          <t>🧪 منظومة الاختبارات الوكيلية الشاملة e2e ومولد مهارات التحقق</t>
        </is>
      </c>
      <c r="C10" s="69" t="inlineStr">
        <is>
          <t>e2e init; e2e run; /create-verification-skill</t>
        </is>
      </c>
      <c r="D10" s="70" t="inlineStr">
        <is>
          <t>إطار عمل ثوري مفتوح المصدر (tester-army/e2e) لقيادة اختبارات الويب والموبايل (@e2e-dev/web, @e2e-dev/mobile) بأهداف وكيلية طبيعية (agent.act, agent.assert) وتأكيدات قطعية، مع تقنية الـ Replay Cache الحصرية (إعادة تشغيل الاختبارات المؤكدة بـ 0 استدعاء للنماذج و 0 توكنز ما لم تتغير الواجهة)، وخادم MCP المدمج (e2e mcp) وتوليد مهارات التحقق الذاتية للمشاريع (verify-&lt;app&gt;).</t>
        </is>
      </c>
      <c r="E10" s="83" t="n"/>
    </row>
    <row r="11" ht="45" customHeight="1" s="55">
      <c r="A11" s="67" t="n">
        <v>10</v>
      </c>
      <c r="B11" s="68" t="inlineStr">
        <is>
          <t>🔍 الهندسة العكسية للتطبيقات والحزم (Reverse Engineer Anything)</t>
        </is>
      </c>
      <c r="C11" s="69" t="inlineStr">
        <is>
          <t>استكشف المورد https://github.com/morluto/rea أو نفذ: npx -y rea-agents@latest</t>
        </is>
      </c>
      <c r="D11" s="70" t="inlineStr">
        <is>
          <t>وكيل الهندسة العكسية REA لتحليل الحزم الثنائية، تطبيقات Electron، حزم أندرويد APK، وتفكيك الأكواد واستخراج مسارات الـ API والمفاتيح والمخططات.</t>
        </is>
      </c>
      <c r="E11" s="83" t="n"/>
    </row>
    <row r="12" ht="45" customHeight="1" s="55">
      <c r="A12" s="67" t="n">
        <v>11</v>
      </c>
      <c r="B12" s="68" t="inlineStr">
        <is>
          <t>🎨 تصميم وبناء مواصفات DESIGN.md (Design MD Architect)</t>
        </is>
      </c>
      <c r="C12" s="69" t="inlineStr">
        <is>
          <t>design-md-architect: أنشئ ملف DESIGN.md متكامل للمشروع وفق مواصفات Google Stitch و Refero Styles مع ضبط باليت الألوان الدلالية، ومقاييس الخطوط والتباعد، وقواعد RTL.</t>
        </is>
      </c>
      <c r="D12" s="70" t="inlineStr">
        <is>
          <t>توليد وتوحيد مواصفات DESIGN.md المرجعية للمشروع لضمان التماسك البصري لكافة وكلاء الذكاء الاصطناعي (Claude Code, Cursor, Codex, Gemini, Antigravity) ومنع العشوائية.</t>
        </is>
      </c>
      <c r="E12" s="83" t="n"/>
    </row>
    <row r="13" ht="45" customHeight="1" s="55">
      <c r="A13" s="67" t="n">
        <v>12</v>
      </c>
      <c r="B13" s="68" t="inlineStr">
        <is>
          <t>🛡️ درع التطهير البصري ومكافحة AI Slop (Impeccable Design Guard)</t>
        </is>
      </c>
      <c r="C13" s="69" t="inlineStr">
        <is>
          <t>impeccable-design-guard: نفذ تدقيقاً بصرياً شاملاً للواجهة وفق بروتوكول /impeccable audit وموسوعة Component Gallery، وتحقق من تباين الألوان WCAG AA والتسلسل الهرمي.</t>
        </is>
      </c>
      <c r="D13" s="70" t="inlineStr">
        <is>
          <t>تطهير الواجهات من ركاكة الذكاء الاصطناعي (AI Slop)، موازنة التباين، ضبط التسلسل الهرمي للأزرار، والتأكد من مطابقة معايير الوصولية وتجاوب الشاشات.</t>
        </is>
      </c>
      <c r="E13" s="83" t="n"/>
    </row>
    <row r="14" ht="45" customHeight="1" s="55">
      <c r="A14" s="67" t="n">
        <v>13</v>
      </c>
      <c r="B14" s="68" t="inlineStr">
        <is>
          <t>🎬 محرك فيزياء الحركة وتوليد الفيديو بالكود (HyperFrames Motion Engine)</t>
        </is>
      </c>
      <c r="C14" s="69" t="inlineStr">
        <is>
          <t>hyperframes-motion-engine: صمم حركات تفاعلية فائقة النعومة بمعادلات الزنبرك الطبيعي (Spring Physics) من Kinetics، أو ولد فيديو استعراضي للمنتج بالكود عبر HTML/CSS/GSAP.</t>
        </is>
      </c>
      <c r="D14" s="70" t="inlineStr">
        <is>
          <t>دمج فيزياء الزنبرك الطبيعية في الواجهات (Kinetics)، وتوليد فيديوهات المنتجات والعروض التوضيحية برمجياً بالكود (HyperFrames) وفق إيقاع إعلانات وادي السيليكون (WhatShips).</t>
        </is>
      </c>
      <c r="E14" s="83" t="n"/>
    </row>
    <row r="15" ht="45" customHeight="1" s="55">
      <c r="A15" s="67" t="n">
        <v>14</v>
      </c>
      <c r="B15" s="68" t="inlineStr">
        <is>
          <t>🦆 جسر أبحاث Duck.ai المجاني | Duck.ai Zero-Cost Research Bridge</t>
        </is>
      </c>
      <c r="C15" s="69" t="inlineStr">
        <is>
          <t>"استكشف المورد duck.ai" / "duckai bridge" / "شغل جسر duckai"</t>
        </is>
      </c>
      <c r="D15" s="70" t="inlineStr">
        <is>
          <t>تفعيل مهارة وجسر أبحاث Duck.ai للاستعلام المجاني من نماذج GPT-4o-mini و Claude 3 Haiku و Llama 3.3 وتوفير Sandbox لاختبارات n8n و FastMCP وحفظ كوتا النماذج التجارية لوكالة Autovem.</t>
        </is>
      </c>
      <c r="E15" s="83" t="n"/>
    </row>
    <row r="16" ht="45" customHeight="1" s="55">
      <c r="A16" s="67" t="n">
        <v>15</v>
      </c>
      <c r="B16" s="68" t="inlineStr">
        <is>
          <t>🎬 أخصائي المونتاج والإخراج الفني بالذكاء الاصطناعي (ai-video-montage-specialist)</t>
        </is>
      </c>
      <c r="C16" s="69" t="inlineStr">
        <is>
          <t>قم بتحليل فيديو العميل [البراند] واستخراج ملف الصوت والـ Contact Sheet، واستخرج التوقيتات الدقيقة بالملي ثانية عبر Whisper، ونفذ القطع الأولي (Rough Cut) بإزالة السكتات وتوليد ملف EDL، ثم طبق نظام التصميم ومكافحة النمطية في تركيبة Remotion.</t>
        </is>
      </c>
      <c r="D16" s="70" t="inlineStr">
        <is>
          <t>أخصائي المونتاج والإخراج الفني الذاتي: إدارة خط إنتاج الفيديو البرمجي بالكود استناداً لهندسة غريب الشيخ؛ فحص FFmpeg واستخراج الصوت النقي 16kHz، تحليل المساحات السلبية (Negative Space) لمنع تغطية وجه المتحدث، تفريغ Whisper بالملي ثانية، توليد ملفات EDL لبريمير ودافينشي، إخراج المشاهد بأنماط Focus و Whiteboard و Screencast، ورندرة Remotion React ومكافحة ركاكة الـ AI Slop.</t>
        </is>
      </c>
      <c r="E16" s="83" t="n"/>
    </row>
    <row r="17" ht="45" customHeight="1" s="55">
      <c r="A17" s="67" t="n">
        <v>16</v>
      </c>
      <c r="B17" s="68" t="inlineStr">
        <is>
          <t>🧹 تنقية الكود والتوثيق من حشو الذكاء الاصطناعي (Unslop Code &amp; English Prose Purifier)</t>
        </is>
      </c>
      <c r="C17" s="69" t="inlineStr">
        <is>
          <t>claude -p "Review this PR diff and apply unslop: strip obvious comments and reduce boilerplate." / "/unslop" / "نظف الكود من الحشو"</t>
        </is>
      </c>
      <c r="D17" s="70" t="inlineStr">
        <is>
          <t>مسح التعليقات التوليدية البديهية (مثل // loop over users)، وحذف التغليفات الزائدة (Over-abstraction)، وتبسيط الصياغة الإنجليزية التقنية مع الحفاظ الكامل على نصوص العربية وRTL (مستخلص من pstack / Lauren Tan).</t>
        </is>
      </c>
      <c r="E17" s="83" t="n"/>
    </row>
    <row r="18" ht="45" customHeight="1" s="55">
      <c r="A18" s="67" t="n">
        <v>17</v>
      </c>
      <c r="B18" s="68" t="inlineStr">
        <is>
          <t>💥 تحليل نصف قطر الانفجار وتتبع التبعيات (Blast Radius Pre-Merge Verifier)</t>
        </is>
      </c>
      <c r="C18" s="69" t="inlineStr">
        <is>
          <t>claude -p "What is the blast radius of changing &lt;target_function_or_file&gt;?" / "blast-radius" / "نطاق التأثير"</t>
        </is>
      </c>
      <c r="D18" s="70" t="inlineStr">
        <is>
          <t>تحليل نصف قطر الانفجار وتتبع التبعيات العميقة عبر Git قبل دمج التعديلات (مخططات JSON، أعمدة DB، الذاكرة المؤقتة، واستدعاءات دورة الحياة)، مع إلزام الوكيل بإثبات الأمان عبر تشغيل كود تجريبي حقيقي لا مجرد افتراض.</t>
        </is>
      </c>
      <c r="E18" s="83" t="n"/>
    </row>
    <row r="19" ht="45" customHeight="1" s="55">
      <c r="A19" s="67" t="n">
        <v>18</v>
      </c>
      <c r="B19" s="68" t="inlineStr">
        <is>
          <t>⚔️ حلبة التنافس المعماري وتطعيم الحلول (Multi-Model Architecture Arena &amp; Grafting)</t>
        </is>
      </c>
      <c r="C19" s="69" t="inlineStr">
        <is>
          <t>claude -p "Throw the architecture problem into the arena with Candidate A (OpenCode GLM) and Candidate B (agcli Gemini), cross-judged by Claude Opus." / "/arena" / "أطلق حلبة المنافسة"</t>
        </is>
      </c>
      <c r="D19" s="70" t="inlineStr">
        <is>
          <t>إطلاق حلبة تنافس بين مرشحين (OpenCode للمنطق و agcli للواجهات)، مع تحكيم وتطعيم الأفكار الهندسية الفضلى بواسطة Claude Code Opus Max في حل موحد متكامل.</t>
        </is>
      </c>
      <c r="E19" s="83" t="n"/>
    </row>
    <row r="20" ht="45" customHeight="1" s="55">
      <c r="A20" s="67" t="n">
        <v>19</v>
      </c>
      <c r="B20" s="68" t="inlineStr">
        <is>
          <t>🔒 تثبيت الأخطاء البرمجية نهائياً في الاختبارات (Correct: Bug-to-CI Regression Lock)</t>
        </is>
      </c>
      <c r="C20" s="69" t="inlineStr">
        <is>
          <t>claude -p "Apply correct: diagnose root cause and lock it into our test suite so this regression never recurs." / "/correct" / "صحح نهائياً واقفل الثغرة"</t>
        </is>
      </c>
      <c r="D20" s="70" t="inlineStr">
        <is>
          <t>منع الاكتفاء بالترقيع المؤقت للأعطال البرمجية؛ تحويل كل خلل إلى فحص آلي دائم في اختبارات CI يفشل فوراً في حال تكرار الخلل مستقبلاً مع توثيق السبب الجذري ومحاصرته بسياج برمجي.</t>
        </is>
      </c>
      <c r="E20" s="83" t="n"/>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rightToLeft="1" workbookViewId="0">
      <selection activeCell="A1" sqref="A1"/>
    </sheetView>
  </sheetViews>
  <sheetFormatPr baseColWidth="8" defaultRowHeight="14.4"/>
  <cols>
    <col width="8" customWidth="1" style="55" min="1" max="1"/>
    <col width="32" customWidth="1" style="55" min="2" max="2"/>
    <col width="52" customWidth="1" style="55" min="3" max="3"/>
    <col width="75" customWidth="1" style="55" min="4" max="4"/>
  </cols>
  <sheetData>
    <row r="1" ht="28.05" customHeight="1" s="55">
      <c r="A1" s="10" t="inlineStr">
        <is>
          <t>No</t>
        </is>
      </c>
      <c r="B1" s="10" t="inlineStr">
        <is>
          <t>اسم الأمر / الوظيفة</t>
        </is>
      </c>
      <c r="C1" s="10" t="inlineStr">
        <is>
          <t>الأمر البرمجي / الموجه (Command / Prompt)</t>
        </is>
      </c>
      <c r="D1" s="10" t="inlineStr">
        <is>
          <t>الوصف والاستخدام (Description &amp; Notes)</t>
        </is>
      </c>
    </row>
    <row r="2" ht="31.95" customHeight="1" s="55">
      <c r="A2" s="11" t="n">
        <v>1</v>
      </c>
      <c r="B2" s="12" t="inlineStr">
        <is>
          <t>إضافة خادم MCP جديد</t>
        </is>
      </c>
      <c r="C2" s="13" t="inlineStr">
        <is>
          <t>claude mcp add [name] [cmd] [args]</t>
        </is>
      </c>
      <c r="D2" s="14" t="inlineStr">
        <is>
          <t>ربط وإضافة خوادم بروتوكول سياق النموذج (MCP) لتوسيع قدرات كلود بالأدوات الخارجية.</t>
        </is>
      </c>
    </row>
    <row r="3" ht="31.95" customHeight="1" s="55">
      <c r="A3" s="11" t="n">
        <v>2</v>
      </c>
      <c r="B3" s="12" t="inlineStr">
        <is>
          <t>عرض خوادم MCP المتصلة</t>
        </is>
      </c>
      <c r="C3" s="13" t="inlineStr">
        <is>
          <t>claude mcp list</t>
        </is>
      </c>
      <c r="D3" s="14" t="inlineStr">
        <is>
          <t>سرد كافة خوادم الـ MCP المسجلة والتأكد من جاهزيتها وحالة الاتصال.</t>
        </is>
      </c>
    </row>
    <row r="4" ht="31.95" customHeight="1" s="55">
      <c r="A4" s="11" t="n">
        <v>3</v>
      </c>
      <c r="B4" s="12" t="inlineStr">
        <is>
          <t>حذف خادم MCP</t>
        </is>
      </c>
      <c r="C4" s="13" t="inlineStr">
        <is>
          <t>claude mcp remove [name]</t>
        </is>
      </c>
      <c r="D4" s="14" t="inlineStr">
        <is>
          <t>إلغاء تثبيت وحذف خادم MCP غير مستخدم لتوفير الذاكرة.</t>
        </is>
      </c>
    </row>
    <row r="5" ht="31.95" customHeight="1" s="55">
      <c r="A5" s="11" t="n">
        <v>4</v>
      </c>
      <c r="B5" s="12" t="inlineStr">
        <is>
          <t>توجيه البوابة المخصصة</t>
        </is>
      </c>
      <c r="C5" s="13" t="inlineStr">
        <is>
          <t>export ANTHROPIC_BASE_URL=https://api.moonshot.cn/v1</t>
        </is>
      </c>
      <c r="D5" s="14" t="inlineStr">
        <is>
          <t>توجيه طلبات كلود كود إلى خوادم وسيطة أو نماذج متوافقة مع OpenAI.</t>
        </is>
      </c>
    </row>
    <row r="6" ht="31.95" customHeight="1" s="55">
      <c r="A6" s="11" t="n">
        <v>5</v>
      </c>
      <c r="B6" s="12" t="inlineStr">
        <is>
          <t>تعيين مفتاح التوثيق المخصص</t>
        </is>
      </c>
      <c r="C6" s="13" t="inlineStr">
        <is>
          <t>export ANTHROPIC_AUTH_TOKEN=your-token</t>
        </is>
      </c>
      <c r="D6" s="14" t="inlineStr">
        <is>
          <t>تعيين مفتاح المصادقة لتشغيل النماذج السحابية أو المحلية عبر الـ CLI.</t>
        </is>
      </c>
    </row>
    <row r="7" ht="31.95" customHeight="1" s="55">
      <c r="A7" s="11" t="n">
        <v>6</v>
      </c>
      <c r="B7" s="12" t="inlineStr">
        <is>
          <t>ملف إرشادات المشروع الأساسي</t>
        </is>
      </c>
      <c r="C7" s="13" t="inlineStr">
        <is>
          <t>CLAUDE.md</t>
        </is>
      </c>
      <c r="D7" s="14" t="inlineStr">
        <is>
          <t>الملف الحاكم لسلوك وأسلوب كلود كود، ويحتوي على أوامر البناء، الاختبار، والقيود المعمارية.</t>
        </is>
      </c>
    </row>
    <row r="8" ht="31.95" customHeight="1" s="55">
      <c r="A8" s="11" t="n">
        <v>7</v>
      </c>
      <c r="B8" s="12" t="inlineStr">
        <is>
          <t>بيان إضافات كلود (Plugin Manifest)</t>
        </is>
      </c>
      <c r="C8" s="13" t="inlineStr">
        <is>
          <t>.claude-plugin/plugin.json</t>
        </is>
      </c>
      <c r="D8" s="14" t="inlineStr">
        <is>
          <t>ملف تكوين الحزم والإضافات لتوزيع المهارات والخطافات في منظومة Claude Code.</t>
        </is>
      </c>
    </row>
    <row r="9" ht="31.95" customHeight="1" s="55">
      <c r="A9" s="11" t="n">
        <v>8</v>
      </c>
      <c r="B9" s="12" t="inlineStr">
        <is>
          <t>الإعدادات العامة والمحلية</t>
        </is>
      </c>
      <c r="C9" s="13" t="inlineStr">
        <is>
          <t>.claude/settings.json &amp; settings.local.json</t>
        </is>
      </c>
      <c r="D9" s="14" t="inlineStr">
        <is>
          <t>تحديد أذونات الوصول ونمط التشغيل (Auto Mode / Manual Mode) وتخزين المتغيرات المحلية.</t>
        </is>
      </c>
    </row>
    <row r="10" ht="31.95" customHeight="1" s="55">
      <c r="A10" s="11" t="n">
        <v>9</v>
      </c>
      <c r="B10" s="12" t="inlineStr">
        <is>
          <t>مجلد الإعدادات العام للمستخدم</t>
        </is>
      </c>
      <c r="C10" s="13" t="inlineStr">
        <is>
          <t>~/.claude/config.json</t>
        </is>
      </c>
      <c r="D10" s="14" t="inlineStr">
        <is>
          <t>تخزين تفضيلات المستخدم العالمية والاشتراكات عبر كافة المشاريع.</t>
        </is>
      </c>
    </row>
    <row r="11">
      <c r="A11" s="72" t="n">
        <v>10</v>
      </c>
      <c r="B11" s="73" t="inlineStr">
        <is>
          <t>🐍 ترقية وتثبيت بايثون الحديثة (Python 3.14/3.13) عبر uv مع حماية أوبونتو</t>
        </is>
      </c>
      <c r="C11" s="74" t="inlineStr">
        <is>
          <t>curl -LsSf https://astral.sh/uv/install.sh | sh &amp;&amp; export PATH="/home/t/.local/bin:/home/t/.local/bin:/home/t/.gemini/antigravity/bin:/usr/local/sbin:/usr/local/bin:/usr/sbin:/usr/bin:/sbin:/bin:/usr/games:/usr/local/games:/usr/lib/wsl/lib:/mnt/c/Users/Kt/AppData/Roaming/Antigravity/bin:/mnt/c/Program Files/Eclipse Adoptium/jdk-17.0.19.10-hotspot/bin:/mnt/c/WINDOWS/system32:/mnt/c/WINDOWS:/mnt/c/WINDOWS/System32/Wbem:/mnt/c/WINDOWS/System32/WindowsPowerShell/v1.0/:/mnt/c/WINDOWS/System32/OpenSSH/:/mnt/c/Program Files/Common Files/Autodesk Shared/:/mnt/c/Program Files/Microsoft SQL Server/150/Tools/Binn/:/mnt/c/Program Files/dotnet/:/mnt/c/Program Files (x86)/Microsoft SQL Server/160/Tools/Binn/:/mnt/c/Program Files/Microsoft SQL Server/160/Tools/Binn/:/mnt/c/Program Files/Microsoft SQL Server/Client SDK/ODBC/170/Tools/Binn/:/mnt/c/Program Files/Microsoft SQL Server/160/DTS/Binn/:/mnt/c/Program Files/NVIDIA Corporation/NVIDIA App/NvDLISR:/mnt/c/Program Files (x86)/NVIDIA Corporation/PhysX/Common:/mnt/c/Program Files/nodejs/:/mnt/c/Program Files/Docker/Docker/resources/bin:/mnt/c/Program Files/Git/cmd:/mnt/f/AI PROJECTS/flutter/bin:/mnt/c/Program Files/GitHub CLI/:/mnt/c/Program Files/PowerShell/7/:/mnt/c/Users/Kt/.kimi-code/bin:/mnt/c/Users/Kt/.cargo/bin:/mnt/c/Users/Kt/AppData/Local/Programs/Python/Python314/Scripts/:/mnt/c/Users/Kt/AppData/Local/Programs/Python/Python314/:/mnt/c/Users/Kt/AppData/Local/Microsoft/WindowsApps:/mnt/c/Users/Kt/AppData/Roaming/npm:/mnt/c/Users/Kt/AppData/Local/Programs/Microsoft VS Code/bin:/mnt/c/Users/Kt/AppData/AndroidCLI:/mnt/c/Users/Kt/AppData/Local/Programs/Antigravity IDE/bin:/mnt/c/Users/Kt/AppData/Local/Programs/Antigravity IDE00/bin:/mnt/c/Users/Kt/AppData/Local/Programs/Ollama:/mnt/f/flutter/bin" &amp;&amp; uv python install 3.14 3.13 &amp;&amp; ln -sf /home/t/.local/share/uv/python/cpython-3.14-linux-x86_64-gnu/bin/python3.14 ~/.local/bin/python3.14 &amp;&amp; ln -sf /home/t/.local/share/uv/python/cpython-3.13-linux-x86_64-gnu/bin/python3.13 ~/.local/bin/python3.13</t>
        </is>
      </c>
      <c r="D11" s="73" t="inlineStr">
        <is>
          <t>تثبيت وتفعيل أحدث نسخ بايثون الرسمية (Python 3.14.7 و 3.13.15) في بيئة أوبونتو WSL2 دون المساس بإصدار بايثون النظامي (3.12) لحماية أدوات apt، وتفعيل مدير الحزم فائق السرعة uv لإنشاء البيئات اللحظية.</t>
        </is>
      </c>
    </row>
    <row r="12">
      <c r="A12" s="72" t="n">
        <v>11</v>
      </c>
      <c r="B12" s="73" t="inlineStr">
        <is>
          <t>🚀 ترحيل مشاريع ويندوز إلى نظام أوبونتو الداخلي (ext4) وتسريع I/O بمقدار 20 ضعفاً</t>
        </is>
      </c>
      <c r="C12" s="74" t="inlineStr">
        <is>
          <t>mkdir -p ~/projects &amp;&amp; rsync -avh --info=progress2 "/mnt/&lt;drive&gt;/&lt;path&gt;" ~/projects/ &amp;&amp; cd ~/projects/&lt;project_name&gt; &amp;&amp; git config core.autocrlf input</t>
        </is>
      </c>
      <c r="D12" s="73" t="inlineStr">
        <is>
          <t>نقل مشاريع البرمجة والذكاء الاصطناعي من مسارات أقراص ويندوز البطيئة (/mnt/...) إلى نظام ملفات لينكس الأصلي ext4 لتسريع فحص Git وبناء الحزم بمقدار 10-20 ضعفاً وتفادي تحذيرات المحرر، مع التنظيف المسبق لمنع امتلاء قرص C.</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6"/>
  <sheetViews>
    <sheetView rightToLeft="1" workbookViewId="0">
      <selection activeCell="A1" sqref="A1"/>
    </sheetView>
  </sheetViews>
  <sheetFormatPr baseColWidth="8" defaultRowHeight="14.4"/>
  <cols>
    <col width="8" customWidth="1" style="55" min="1" max="1"/>
    <col width="38" customWidth="1" style="55" min="2" max="2"/>
    <col width="55" customWidth="1" style="55" min="3" max="3"/>
    <col width="60" customWidth="1" style="55" min="4" max="4"/>
  </cols>
  <sheetData>
    <row r="1" ht="31.95" customHeight="1" s="55">
      <c r="A1" s="19" t="inlineStr">
        <is>
          <t>No</t>
        </is>
      </c>
      <c r="B1" s="19" t="inlineStr">
        <is>
          <t>اسم الأمر / الوظيفة</t>
        </is>
      </c>
      <c r="C1" s="19" t="inlineStr">
        <is>
          <t>الأمر البرمجي / الموجه (Command / Prompt)</t>
        </is>
      </c>
      <c r="D1" s="19" t="inlineStr">
        <is>
          <t>الوصف والاستخدام (Description &amp; Notes)</t>
        </is>
      </c>
    </row>
    <row r="2" ht="42" customHeight="1" s="55">
      <c r="A2" s="20" t="n">
        <v>1</v>
      </c>
      <c r="B2" s="21" t="inlineStr">
        <is>
          <t>توليد جدول الكميات والتسعير (BOQ Excel)</t>
        </is>
      </c>
      <c r="C2" s="22" t="inlineStr">
        <is>
          <t>أنشئ جدول كميات لمشروع [اسم المشروع] يحتوي على: [البنود، الكميات، الأسعار الإفرادية] مع حساب الضريبة 15%</t>
        </is>
      </c>
      <c r="D2" s="22" t="inlineStr">
        <is>
          <t>يستدعي أداة generate_engineering_boq لتوليد ملف Excel بتنسيق RTL احترافي، ترويسات موحدة، فواصل آلاف، وحساب المجاميع والضريبة تلقائياً.</t>
        </is>
      </c>
    </row>
    <row r="3" ht="42" customHeight="1" s="55">
      <c r="A3" s="23" t="n">
        <v>2</v>
      </c>
      <c r="B3" s="24" t="inlineStr">
        <is>
          <t>حساب المسار الحرج والجدول الزمني (CPM Schedule)</t>
        </is>
      </c>
      <c r="C3" s="25" t="inlineStr">
        <is>
          <t>احسب المسار الحرج لمشروع [اسم المشروع] يبدأ في [YYYY-MM-DD] للأنشطة: [الأنشطة، المدد بالأيام، والاعتماديات] وصدر الجدول الزمني في ملف إكسيل</t>
        </is>
      </c>
      <c r="D3" s="25" t="inlineStr">
        <is>
          <t>يستدعي أداة generate_cpm_schedule لحساب البدايات والنهايات وفترات السماح (Floats) وتحديد المسار الحرج ومصفوفة الأنشطة.</t>
        </is>
      </c>
    </row>
    <row r="4" ht="42" customHeight="1" s="55">
      <c r="A4" s="20" t="n">
        <v>3</v>
      </c>
      <c r="B4" s="21" t="inlineStr">
        <is>
          <t>صياغة الخطابات والمراسلات الرسمية (Official Letters)</t>
        </is>
      </c>
      <c r="C4" s="22" t="inlineStr">
        <is>
          <t>صغ خطاب رسمي موجه لـ [الجهة المخاطبة] بخصوص [الموضوع] لمشروع [اسم المشروع] بنمط صفحة واحدة A4 مع الهوية الرسمية</t>
        </is>
      </c>
      <c r="D4" s="22" t="inlineStr">
        <is>
          <t>يستدعي أداة generate_official_letter لإنشاء خطاب رسمي Word (DOCX) بصفحة واحدة A4 وتنسيق RTL معتمد وخاتمة وتوقيع.</t>
        </is>
      </c>
    </row>
    <row r="5" ht="42" customHeight="1" s="55">
      <c r="A5" s="23" t="n">
        <v>4</v>
      </c>
      <c r="B5" s="24" t="inlineStr">
        <is>
          <t>توليد خطابات الضمان البنكي (Bank Guarantee Letters)</t>
        </is>
      </c>
      <c r="C5" s="25" t="inlineStr">
        <is>
          <t>اكتب خطاب ضمان نهائي موجه لـ [الجهة الحكومية/العميل] لمشروع [اسم المشروع] برقم العقد [رقم العقد] وبمبلغ [المبلغ بالريال]</t>
        </is>
      </c>
      <c r="D5" s="25" t="inlineStr">
        <is>
          <t>يستدعي أداة generate_official_letter مع تحديد نوع guarantee لتوليد خطاب الضمان البنكي الابتدائي أو النهائي معتمداً.</t>
        </is>
      </c>
    </row>
    <row r="6" ht="42" customHeight="1" s="55">
      <c r="A6" s="20" t="n">
        <v>5</v>
      </c>
      <c r="B6" s="21" t="inlineStr">
        <is>
          <t>توليد طلب فحص الأعمال الموقعي (WIR Form)</t>
        </is>
      </c>
      <c r="C6" s="22" t="inlineStr">
        <is>
          <t>أنشئ طلب فحص أعمال [التخصص: كهرباء/مدني/ميكانيكا] برقم [WIR-XX-001] لموقع [الموقع بالتفصيل] لبيان الأعمال [وصف الأعمال] بتاريخ [التاريخ]</t>
        </is>
      </c>
      <c r="D6" s="22" t="inlineStr">
        <is>
          <t>يستدعي أداة generate_inspection_request_wir لإنتاج نموذج الفحص الفني المعتمد مع جداول قرار الاستشاري والاعتمادات.</t>
        </is>
      </c>
    </row>
    <row r="7" ht="42" customHeight="1" s="55">
      <c r="A7" s="23" t="n">
        <v>6</v>
      </c>
      <c r="B7" s="24" t="inlineStr">
        <is>
          <t>تعبئة نماذج استلام وتسليم الصندوق TBC (Handover Forms)</t>
        </is>
      </c>
      <c r="C7" s="25" t="inlineStr">
        <is>
          <t>جهز بطاقة الصندوق Box Label وقائمة استلام وتسليم الوثائق Form R09 لمشروع [اسم المشروع] برقم العقد [رقم العقد]</t>
        </is>
      </c>
      <c r="D7" s="25" t="inlineStr">
        <is>
          <t>يستدعي أداة generate_tbc_handover_forms لتعبئة بطاقة الصندوق وقائمة فحص تسليم المستندات R09 وفهرس المحتويات.</t>
        </is>
      </c>
    </row>
    <row r="8" ht="42" customHeight="1" s="55">
      <c r="A8" s="20" t="n">
        <v>7</v>
      </c>
      <c r="B8" s="21" t="inlineStr">
        <is>
          <t>تحويل الماركداون والتقارير الفنية إلى Word (Markdown to DOCX)</t>
        </is>
      </c>
      <c r="C8" s="22" t="inlineStr">
        <is>
          <t>حول التقرير الفني المكتوب بـ Markdown إلى مستند Word عربي منسق بدقة RTL وجداول وهوامش 2.5 سم</t>
        </is>
      </c>
      <c r="D8" s="22" t="inlineStr">
        <is>
          <t>يستدعي أداة generate_arabic_docx لتحويل نصوص الماركداون إلى DOCX مع ضبط الجداول والعناوين والقوائم بدقة.</t>
        </is>
      </c>
    </row>
    <row r="9" ht="42" customHeight="1" s="55">
      <c r="A9" s="23" t="n">
        <v>8</v>
      </c>
      <c r="B9" s="24" t="inlineStr">
        <is>
          <t>التحويل التلقائي للمستندات إلى PDF (DOCX/XLSX to PDF)</t>
        </is>
      </c>
      <c r="C9" s="25" t="inlineStr">
        <is>
          <t>حول الملف [مسار الملف DOCX أو XLSX] إلى PDF جاهز للطباعة بدمج الخطوط العربية</t>
        </is>
      </c>
      <c r="D9" s="25" t="inlineStr">
        <is>
          <t>يستدعي أداة export_to_pdf عبر COM Automation لإنتاج ملف PDF بمطابقة تامة للخطوط العربية والأبعاد.</t>
        </is>
      </c>
    </row>
    <row r="10" ht="42" customHeight="1" s="55">
      <c r="A10" s="20" t="n">
        <v>9</v>
      </c>
      <c r="B10" s="21" t="inlineStr">
        <is>
          <t>الخطاف #23: أتمتة وتحويل سكربتات المشاريع إلى MCP</t>
        </is>
      </c>
      <c r="C10" s="26" t="inlineStr">
        <is>
          <t>حول إلى MCP</t>
        </is>
      </c>
      <c r="D10" s="22" t="inlineStr">
        <is>
          <t>تفعيل الخطاف 23 لمسح سكربتات بايثون في المشروع عبر AST وتجريد منطق العمل وتوليد خادم FastMCP مع أرشفة آمنة في القرص G:.</t>
        </is>
      </c>
    </row>
    <row r="11" ht="42" customHeight="1" s="55">
      <c r="A11" s="23" t="n">
        <v>10</v>
      </c>
      <c r="B11" s="24" t="inlineStr">
        <is>
          <t>أرشفة وفحص سكربتات المشاريع برمجياً (CLI Runner)</t>
        </is>
      </c>
      <c r="C11" s="27" t="inlineStr">
        <is>
          <t>python C:\Users\Kt\.gemini\config\project_scripts_to_mcp.py --project-dir "[مسار المشروع]" --archive-dir "G:\_scripts_archive" --archive-only</t>
        </is>
      </c>
      <c r="D11" s="25" t="inlineStr">
        <is>
          <t>أمر طرفي مباشر لفحص وأرشفة كافة السكربتات المبعثرة في أي مشروع ونقلها للأرشيف الثانوي فوراً مع حماية قرص C:.</t>
        </is>
      </c>
    </row>
    <row r="12" ht="45" customHeight="1" s="55">
      <c r="A12" s="44" t="n">
        <v>11</v>
      </c>
      <c r="B12" s="45" t="inlineStr">
        <is>
          <t>🏗️ عرض سعر توريد وتركيب بردورات وإنترلوك لشركة الرواف</t>
        </is>
      </c>
      <c r="C12" s="46" t="inlineStr">
        <is>
          <t>قم بإنشاء عرض سعر رسمي وتجاري متكامل موجه إلى 'شركة الرواف للمقاولات' صادر عن 'مؤسسة إعمار الفرعة للمقاولات العامة' لأعمال توريد وتركيب البردورات وبلاط الإنترلوك المتداخل، وفق المواصفات والاشتراطات الهندسية لوزارة البلديات والإسكان والكود السعودي للبناء، بالصيغ الثلاث (XLSX, DOCX, PDF) مع الالتزام التام بالقواعد التالية:\n1. بيانات الترويسة وهوية العرض:\n- المُرسل: مؤسسة إعمار الفرعة للمقاولات العامة (الرياض | س.ت: 1013000965 | جوال: 0546695810 - 0504246410 | بريد: emaaralfharah2040@gmail.com).\n- المُرسل إليه: السادة / شركة الرواف للمقاولات المحترمون.\n- موضوع الخطاب: عرض سعر توريد وتركيب بردورات خرسانية وبلاط إنترلوك متداخل.\n2. جدول البنود والأسعار الإفرادية المعتمدة (بالريال السعودي):\n- البند 1 (انترلوك 6 سم): أعمال توريد وتركيب بلاط خرساني متداخل بأبعاد 200*100*60 مم لمناطق المشاة مع فرشة subbase ورمل ودك وترويب وإزالة مخلفات | م2 | السعر: 50.00 ر.س.\n- البند 2 (انترلوك 8 سم): أعمال توريد وتركيب بلاط خرساني متداخل بأبعاد 200*100*80 مم لمناطق دخول السيارات مع subbase ورمل وبحص ودك وترويب | م2 | السعر: 52.00 ر.س.\n- البند 3 (بردورة 15 سم): أعمال فك البلدورة القائمة وتوريد وتركيب بردورة خرسانية مسبقة الصب 500*300*150 مم مع القص في الأسفلت والحفر وصب الخرسانة العادية والمساند والرص والتكحيل | م ط | السعر: 50.00 ر.س.\n- البند 4 (بردورة 10 سم): أعمال فك البلدورة القائمة وتوريد وتركيب بردورة خرسانية مسبقة الصب 500*300*100 مم مع القص في الأسفلت والحفر وصب الخرسانة العادية والمساند والرص والتكحيل | م ط | السعر: 45.00 ر.س.\n3. الشروط الفنية والتجارية:\n- الأسعار غير شاملة ضريبة القيمة المضافة (15%).\n- الدفعات مرتبطة بالمستخلصات الشهرية المعتمدة.\n- سريان العرض: 30 يوماً من تاريخه.\n4. الضوابط الفنية للإخراج:\n- الأرقام الإنجليزية (0-9) حصرياً وبشكل مطلق.\n- إخراج ثلاثي احترافي (XLSX + DOCX + PDF) مع ورق رسمي لمؤسسة إعمار الفرعة.</t>
        </is>
      </c>
      <c r="D12" s="47" t="inlineStr">
        <is>
          <t>توليد عرض سعر رسمي متكامل هندسياً ومحاسبياً موجه لشركة الرواف للمقاولات لبنود البردورات والإنترلوك بالصيغ الثلاث (XLSX, DOCX, PDF) طبقاً لمنطوق بنود البلديات وأرقام إنجليزية 0-9 وهوية مؤسسة إعمار الفرعة.</t>
        </is>
      </c>
    </row>
    <row r="13" ht="45" customHeight="1" s="55">
      <c r="A13" s="67" t="n">
        <v>12</v>
      </c>
      <c r="B13" s="68" t="inlineStr">
        <is>
          <t>🏗️ تعريب وتوثيق حزمة المواصفات والمقايسات الهندسية (BOQ &amp; CSI Specs Localization)</t>
        </is>
      </c>
      <c r="C13" s="69" t="inlineStr">
        <is>
          <t>ابدأ مهمة تعريب وهندسة حزمة وثائق ومواصفات المشروع في المجلد المحدد:
المسار: [g:\M.Yonis\03_المشاريع\مشاريع_أخرى_وعملاء\New_Project\Study_00]
1. نطاق العمل والحماية (Scope Isolation):
- إنشاء مجلد مخرجات مخصص باسم [01_الوثائق_والمواصفات_المعربة] دون أي مساس بالملفات الإنجليزية الأصلية (قيد 49).
- جرد ومعالجة كافة الملفات الـ (11): ملفا جداول كميات (BOQ) بصيغة Excel، و (9) ملفات مواصفات فنية تفصيلية بصيغة PDF.
2. تعريب جداول الكميات (Excel BOQ):
- ترقية ملفات .xls القديمة إلى صيغة .xlsx الحديثة وتفعيل الاتجاه من اليمين لليسار (RTL).
- تعريب توصيف البنود هندسياً بدقة مع تدوين الرمز والمصطلح الإنجليزي المرجعي بين قوسين.
- الحفاظ المطلق على المعادلات الحسابية والكميات والوحدات، مع حظر الأسعار الافتراضية وإبقاء خانات الأسعار فارغة ومجهزة (قيد 50).
- اعتماد الأرقام الإنجليزية (0-9) حصرياً في كافة الخلايا والجداول.
3. تعريب المواصفات الفنية التفصيلية (CSI Specifications):
- استخراج وتوثيق المواصفات الـ (9) طبقاً للهيكل المعياري الثلاثي (Part 1: عام | Part 2: المواد | Part 3: التنفيذ).
- توليد حزمة مستندات Word (DOCX) مهندسة بهوية إعمار الفرعة، مع حقن وسوم RTL (&lt;w:bidiVisual/&gt; و &lt;w:jc w:val="left"/&gt;).
- تصدير نسخ PDF معتمدة ومطابقة لمستندات Word.
4. بوابات الجودة والتحقق (Quality Gates):
- بوابة الصفر أرقام هندية مشرقية (Zero-Indic-Digits Gate).
- التحقق من اكتمال ترجمة وتوثيق كافة الملفات الـ 11 ومطابقتها للمصطلحات المعتمدة في كود البناء السعودي (SBC).</t>
        </is>
      </c>
      <c r="D13" s="70" t="inlineStr">
        <is>
          <t>أمر هندسي متكامل لتعريب وتوثيق حزم مشاريع المقاولات (جداول كميات BOQ ومواصفات فنية CSI Specs)، مع الحفاظ على الأصول الأصلية، وضبط معادلات الإكسيل، وتوليد ملفات DOCX و PDF معتمدة بالأرقام الإنجليزية (0-9).</t>
        </is>
      </c>
    </row>
    <row r="14" ht="45" customHeight="1" s="55">
      <c r="A14" s="67" t="n">
        <v>13</v>
      </c>
      <c r="B14" s="68" t="inlineStr">
        <is>
          <t>📐 ضبط اتجاه ومحاذاة نصوص Word و PDF من اليمين لليسار (RTL BiDi Alignment &amp; Rule 1)</t>
        </is>
      </c>
      <c r="C14" s="69" t="inlineStr">
        <is>
          <t>ابدأ مهمة ضبط ومعايرة اتجاه ومحاذاة نصوص الوثائق الهندسية من اليمين لليسار (RTL) في ملفات Word (DOCX) و PDF:
المسار: [g:\M.Yonis\03_المشاريع\مشاريع_أخرى_وعملاء\New_Project\Study_00\01_الوثائق_والمواصفات_المعربة]
1. الالتزام الصارم بالقاعدة رقم 1 والقاعدة رقم 5 في ملف AGENTS.md:
- تفعيل خاصية الاتجاه من اليمين لليسار (RTL) على مستوى مقطع المستند بالكامل عبر حقن عنصر &lt;w:bidi/&gt; في خصائص المقطع &lt;w:sectPr&gt;.
- تطبيق المحاذاة لليسار البرمجية &lt;w:jc w:val="left"/&gt; أو المحاذاة الثنائية &lt;w:jc w:val="both"/&gt; داخل &lt;w:pPr&gt; لكافة الفقرات وعناوين البنود لضمان انطلاق النصوص من أقصى اليمين البصري (X &gt;= 520 pt) وعدم انقلابها لليسار مع وسوم w:bidi.
- حقن وسم &lt;w:rtl/&gt; داخل خصائص كل مقطع نصي &lt;w:rPr&gt; لتثبيت اتجاه الأحرف العربية ومنع قلب الكلمات المختلطة والمصطلحات الإنجليزية.
- ضبط اتجاه الجداول وعناصر المقايسات عبر عنصر &lt;w:bidiVisual/&gt; داخل &lt;w:tblPr&gt;.
2. إعادة تصدير ملفات PDF عبر Word COM:
- تحديث كافة ملفات المواصفات الفنية الـ 9 بصيغة DOCX وإعادة تحويلها إلى PDF بنظام Vector الأصلي.
- التحقق الآلي عبر PyMuPDF من إحداثيات انطلاق الكتل النصية وتأكيد أنها تبدأ وتستند إلى اليمين البصري.
- بوابة الصفر أرقام هندية مشرقية (Zero-Indic-Digits Gate) واعتماد الأرقام الإنجليزية (0-9) حصرياً.</t>
        </is>
      </c>
      <c r="D14" s="70" t="inlineStr">
        <is>
          <t>أمر هندسي احترافي لضبط الاتجاه والمحاذاة البصرية لملفات Word و PDF العربية، وتصحيح مفارقة محاذاة OpenXML BiDi وفق القاعدة رقم 1 والقاعدة 5 لضمان انطلاق النصوص من أقصى اليمين البصري.</t>
        </is>
      </c>
    </row>
    <row r="15" ht="45" customHeight="1" s="55">
      <c r="A15" s="67" t="n">
        <v>14</v>
      </c>
      <c r="B15" s="68" t="inlineStr">
        <is>
          <t>🏗️ عرض سعر ومقايسة درابزينات زجاجية غير مسعرة (94 م2 ممرات + 106 م2 درج) لمؤسسة تل العمارة</t>
        </is>
      </c>
      <c r="C15" s="69" t="inlineStr">
        <is>
          <t>قم بإعداد وتوليد حزمة عرض سعر ومقايسة فنية تفصيلية غير مسعرة متكاملة (XLSX + DOCX + PDF) صادرة عن 'مصنع منصة الإبداع للمعادن' بالرياض (س.ت / الرقم الموحد: 7038153537) وموجهة إلى السادة / 'مؤسسة تل العمارة للمقاولات العامة' لأعمال توريد وتركيب درابزينات زجاجية إنشائية بإجمالي (200 متر مسطح)، وفق البنود والمواصفات المعتمدة التالية:
1. بنود نطاق الأعمال والمواصفات الفنية التفصيلية (Scope of Work):
   - البند الأول (درابزين زجاجي للممرات - كمية: 94 متر مسطح م²): توريد وتصنيع وتركيب درابزين زجاجي مقسى شفاف (Clear Tempered Glass) سماكة 12 مم للممرات، مثبت بواسطة قطاع سفلي مستمر من الألمنيوم الإنشائي U-Channel مقاس 8 سم مدهون بطلاء بودر كوتد حراري أسود مطفي (Matt Black)، مع ربل تثبيت EPDM محكم وسيلكون إنشائي ألماني مانع لتسرب المياه والاهتزازات، مع إكسسوارات زيمكو (Zimco) الإيطالية المعتمدة، وفق اشتراطات كود البناء السعودي (SBC).
   - البند الثاني (درابزين زجاجي للأدراج - كمية: 106 متر مسطح م²): توريد وتصنيع وتركيب درابزين زجاجي مقسى شفاف (Clear Tempered Glass) سماكة 12 مم مائل ومتدرج مع الدرج، مثبت بنظام أقدام وأرجل سبايدر ستانلس ستيل (Stainless Steel Spigots / Standoffs) ارتفاع 16 سم لون أسود معالج ومقاوم للصدأ وتثبيت ميكانيكي بالخرسانة بمسامير إنشائية مجلفنة، مع طواقي واقية وحشوات ربل مانع للانزلاق EPDM وسيلكون إنشائي ألماني وإكسسوارات زيمكو (Zimco) الإيطالية المعتمدة.
2. سياسة التصفير الصارم للأسعار (Strict Zero-Pricing Rule):
   - يُمنع تخمين أو وضع أي أسعار للوحدة أو إجماليات مالية؛ تُترك خانات الأسعار مفرغة تماماً للكتابة والاعتماد اليدوي [             ر.س ].
   - في ملف الإكسيل (XLSX): تفعيل معادلات شرطية ذكية مثل =IF(E9="","",D9*E9) لحساب الإجمالي وضريبة القيمة المضافة 15% تلقائياً فور كتابة السعر يدوياً دون إظهار أصفار مشوهة.
3. المعايير البصرية والإخراجية (Output Standards):
   - الورق الرسمي المعتمد: خلفية الورق الرسمي لمصنع منصة الإبداع للمعادن (300 DPI A4) بالشعار السداسي والرقم الموحد (7038153537) مع تفعيل ضغط Deflate للـ PDF.
   - قيد الصفحة الواحدة الصارم (Strict 1-Page A4) المتضمن جدول الكميات التفصيلي، وإقرار مطابقة الكود السعودي (SBC)، وصناديق التوقيع والختم للطرفين مع دمج الختم والتوقيع المعتمد.
   - معمارية الاتجاه RTL والمنظومة الخماسية لـ Word DOCX، واعتماد الأرقام الإنجليزية (0-9) حصرياً وانعدام الأرقام الهندية المشرقية بنسبة 100%.</t>
        </is>
      </c>
      <c r="D15" s="70" t="inlineStr">
        <is>
          <t>أمر هندسي لتوليد عرض سعر ومقايسة غير مسعرة لأعمال الدرابزينات الزجاجية (94 م2 ممرات بقطاع يو تشانيل أسود 8 سم + 106 م2 أدراج بأرجل سبايدر 16 سم سوداء = إجمالي 200 م2) لصالح مؤسسة تل العمارة للمقاولات على الورق الرسمي لمصنع منصة الإبداع للمعادن (XLSX + DOCX + PDF) بقيد الصفحة الواحدة الصارم.</t>
        </is>
      </c>
    </row>
    <row r="16" ht="45" customHeight="1" s="55">
      <c r="A16" s="67" t="n">
        <v>15</v>
      </c>
      <c r="B16" s="68" t="inlineStr">
        <is>
          <t>📑 حوكمة وتوليد عروض أسعار مصنع الإبداع بالترقيم التسلسلي الآلي</t>
        </is>
      </c>
      <c r="C16" s="69" t="inlineStr">
        <is>
          <t>بصفتك مهندس التسعير والعقود والحوكمة بمصنع منصة الإبداع للمعادن، اعتمد المسار المركزي [G:\M.Yonis\03_المشاريع\مشاريع_أخرى_وعملاء\مصنع_الابداع\Clients] لإدارة كافة عروض الأسعار والمقايسات. التزم بالبروتوكول التالي: 1) فحص المجلد وسجل الفهرسة المركزي [QUOTATION_LEDGER.xlsx] لاكتشاف أعلى رقم تسلسلي وتخصيص الرقم التالي تلقائياً بنمط [MAF-YYYY-NN] أو [MAF-CLI-YYYY-NN]. 2) إنشاء مجلد فرعي مستقل لكل عميل بالنمط [[الرقم_التسلسلي]_[اسم_العميل]_[المشروع]]. 3) توليد الحزمة الثلاثية المعتمدة (XLSX بمعادلات ديناميكية، DOCX بمعمارية BiDi، و PDF بالورق الرسمي 300 DPI للمصنع وقيد الصفحة الواحدة و0 أرقام هندية مشرقية). 4) تحديث السجل المركزي آلياً وتوليد روابط ويندوز المباشرة file:///G:/...</t>
        </is>
      </c>
      <c r="D16" s="70" t="inlineStr">
        <is>
          <t>حوكمة مركزية لإنتاج وأرشفة عروض أسعار ومقايسات مصنع منصة الإبداع للمعادن مع الفحص الآلي للترقيم التسلسلي التالي، إنشاء مجلدات العملاء، تحديث سجل الفهرسة المركزي، وتصدير الحزمة الثلاثية المعتمدة.</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8" customWidth="1" style="55" min="1" max="1"/>
    <col width="32" customWidth="1" style="55" min="2" max="2"/>
    <col width="52" customWidth="1" style="55" min="3" max="3"/>
    <col width="75" customWidth="1" style="55" min="4" max="4"/>
  </cols>
  <sheetData>
    <row r="1" ht="30" customHeight="1" s="55">
      <c r="A1" s="71" t="inlineStr">
        <is>
          <t>No</t>
        </is>
      </c>
      <c r="B1" s="71" t="inlineStr">
        <is>
          <t>اسم الأمر / الوظيفة</t>
        </is>
      </c>
      <c r="C1" s="71" t="inlineStr">
        <is>
          <t>الأمر البرمجي / الموجه (Command / Prompt)</t>
        </is>
      </c>
      <c r="D1" s="71" t="inlineStr">
        <is>
          <t>الوصف والاستخدام (Description &amp; Notes)</t>
        </is>
      </c>
    </row>
    <row r="2" ht="45" customHeight="1" s="55">
      <c r="A2" s="67" t="n">
        <v>1</v>
      </c>
      <c r="B2" s="68" t="inlineStr">
        <is>
          <t>🛡️ فحص واعتماد ما قبل الإطلاق النهائي (Pre-Release Audit)</t>
        </is>
      </c>
      <c r="C2" s="69" t="inlineStr">
        <is>
          <t>teamwork-preview
[MISSION: PRE-RELEASE COMPREHENSIVE PRODUCTION AUDIT — GHERAS EDUTRACK]
Role &amp; Context:
You are conducting a strict, multi-round adversarial pre-release quality gate and forensic verification before the official client delivery of "Gheras EduTrack" (غراس التعليمي).
Audit Objectives &amp; Inspection Pillars:
1. Offline-First Sync &amp; Database Resilience:
   - Verify WorkManager pending_writes synchronization queue when returning from Offline (Airplane Mode) to Online.
   - Ensure zero data loss, idempotent sync execution, and conflict resolution without duplicate records.
   - Verify PocketBase relations integrity (teacherId, circleId, studentId, daily_logs, weekly_reports).
2. Security, Authentication &amp; Role Isolation:
   - Audit strict isolation between Teacher and Parent roles (Parents cannot mutate data; Teachers only access assigned circles).
   - Verify secure token storage, auth state expiry recovery, and zero credential hardcoding.
3. UI/UX, BiDi &amp; RTL Overflow Guard:
   - Inspect all Compose/Flutter layouts for strict RTL compliance.
   - Ensure zero visual overflows ("RIGHT OVERFLOWED BY X PIXELS") by verifying Wrap / Expanded on long text headers.
   - Test accessibility focus orders and contrast ratios.
4. Architecture &amp; Clean Code Gate:
   - Enforce Clean Architecture separation (UI -&gt; Domain/UseCases -&gt; Data).
   - Verify comprehensive error handling (No silent try/catch blocks; clear retry UI for network failures).
   - Check resource leak prevention (coroutines cancellation, stream disposals).
5. Release &amp; Production Readiness:
   - Verify ProGuard/R8 obfuscation rules, release keystore readiness, and unnecessary permissions removal from Manifest.
   - Verify application versioning and build configuration stability.
Deliverables &amp; Victory Criteria:
- Execute SWE / Implementer checks and 3 adversarial review rounds (Reviewer R1, R2, R3).
- Implementer must fix any detected Blocker or High-severity regressions immediately.
- Victory Auditor must run independent programmatic verification and issue a definitive [VICTORY CONFIRMED] verdict before declaring task completion.</t>
        </is>
      </c>
      <c r="D2" s="70" t="inlineStr">
        <is>
          <t>تشغيل خط الإنتاج المتكامل (teamwork-preview) لإجراء تدقيق تعارضي شامل وتأكيد الانتصار (Victory Confirmed) قبل تسليم التطبيق أو النشر للمتجر.</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8" customWidth="1" style="55" min="1" max="1"/>
    <col width="32" customWidth="1" style="55" min="2" max="2"/>
    <col width="52" customWidth="1" style="55" min="3" max="3"/>
    <col width="75" customWidth="1" style="55" min="4" max="4"/>
  </cols>
  <sheetData>
    <row r="1" ht="30" customHeight="1" s="55">
      <c r="A1" s="71" t="inlineStr">
        <is>
          <t>No</t>
        </is>
      </c>
      <c r="B1" s="71" t="inlineStr">
        <is>
          <t>اسم الأمر / الوظيفة</t>
        </is>
      </c>
      <c r="C1" s="71" t="inlineStr">
        <is>
          <t>الأمر البرمجي / الموجه (Command / Prompt)</t>
        </is>
      </c>
      <c r="D1" s="71" t="inlineStr">
        <is>
          <t>الوصف والاستخدام (Description &amp; Notes)</t>
        </is>
      </c>
    </row>
    <row r="2" ht="45" customHeight="1" s="55">
      <c r="A2" s="67" t="n">
        <v>1</v>
      </c>
      <c r="B2" s="68" t="inlineStr">
        <is>
          <t>📂 إظهار الملفات في مستكشف ويندوز وتصديرها لسطح المكتب (Reveal &amp; Desktop Hub - C-81)</t>
        </is>
      </c>
      <c r="C2" s="69" t="inlineStr">
        <is>
          <t>reveal "&lt;Full_Path&gt;"</t>
        </is>
      </c>
      <c r="D2" s="70" t="inlineStr">
        <is>
          <t>المعيار الإلزامي [C-81] لأدوات ومستندات Antigravity: يقوم بترجمة مسارات WSL إلى ويندوز، نسخ الملف فوراً إلى مجلد المستندات_المولدة على سطح المكتب (C:\Users\Kt\Desktop\المستندات_المولدة\)، وفتح مستكشف الملفات مع تظليل الملف تلقائياً وبشكل غير تزامني.</t>
        </is>
      </c>
      <c r="E2" s="83" t="n"/>
    </row>
    <row r="3">
      <c r="A3" s="67" t="n">
        <v>2</v>
      </c>
      <c r="B3" s="68" t="inlineStr">
        <is>
          <t>⚡ مفوض واستهلاك كوتا OpenCode Go الموحد للأسطول (OpenCode Go Fleet Quota Maximizer &amp; Dispatcher)</t>
        </is>
      </c>
      <c r="C3" s="69" t="inlineStr">
        <is>
          <t>python tools/opencode_dispatcher.py --task "&lt;task_instructions&gt;" --model glm</t>
        </is>
      </c>
      <c r="D3" s="70" t="inlineStr">
        <is>
          <t>أداة التفويض المركزية لأسطول Autovemtech لحرق كوتا اشتراك OpenCode Go ($10 شهرياً) بالكامل، عبر إلقاء مهام كتابة البويلربليت، ترحيل قواعد البيانات، والمسائل الخوارزمية البديلة لكودكس على نماذج OpenCode Go الأربعة (GLM Flash, DeepSeek V4.1, Muse Spark, MiniMax) مع تسجيل السجلات في fleet_orders وتطبيق القيد [C-78] لحماية تدفق البث.</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 customWidth="1" style="55" min="1" max="1"/>
    <col width="35" customWidth="1" style="55" min="2" max="2"/>
    <col width="75" customWidth="1" style="55" min="3" max="3"/>
    <col width="45" customWidth="1" style="55" min="4" max="4"/>
  </cols>
  <sheetData>
    <row r="1" ht="30" customHeight="1" s="55">
      <c r="A1" s="71" t="inlineStr">
        <is>
          <t>No</t>
        </is>
      </c>
      <c r="B1" s="71" t="inlineStr">
        <is>
          <t>اسم الأمر / الوظيفة</t>
        </is>
      </c>
      <c r="C1" s="71" t="inlineStr">
        <is>
          <t>الأمر البرمجي / الموجه (Command / Prompt)</t>
        </is>
      </c>
      <c r="D1" s="71" t="inlineStr">
        <is>
          <t>الوصف والاستخدام (Description &amp; Notes)</t>
        </is>
      </c>
    </row>
    <row r="2" ht="45" customHeight="1" s="55">
      <c r="A2" s="67" t="n">
        <v>1</v>
      </c>
      <c r="B2" s="68" t="inlineStr">
        <is>
          <t>📦🧹 تطهير حزم تسليم تطبيقات الويب وحيادية الفلترة (Pure Web App Bundle)</t>
        </is>
      </c>
      <c r="C2" s="69" t="inlineStr">
        <is>
          <t># Autonomous Web Delivery Bundle Purge &amp; Filter Neutrality Invariant [C-87]
1. Purge all PDF reports, Word files, internal markdown notes, and raw reference Excel files from client delivery bundle (.zip).
2. Restrict bundle exclusively to runtime essentials: active app HTML, blank template HTML, offline vendor scripts (xlsx.full.min.js, pdf.min.js, pdf.worker.js), and brand assets. Target size: &lt; 1 MB.
3. Enforce Filter Neutrality: remove hardcoded past month chips, default initial view to Full Period, and compute counters dynamically from active dataset.</t>
        </is>
      </c>
      <c r="D2" s="70" t="inlineStr">
        <is>
          <t>معيار تطهير حزم تسليم تطبيقات الويب المستقلة (SPAs) ولوحات التحليلات للعملاء (المعيار C-87 و Rule 60). حصر الحزمة في ملفات تشغيل الويب فقط لتقليص الحجم لأقل من 1 ميجابايت، وترسيخ حيادية الفلترة الافتراضية على كامل الفترة.</t>
        </is>
      </c>
    </row>
    <row r="3">
      <c r="A3" s="79" t="n">
        <v>2</v>
      </c>
      <c r="B3" s="80" t="inlineStr">
        <is>
          <t>🎓✨ تطبيق الورشة الختامية التفاعلية للمستوى الأول (ESL Level 1 Final Review: Phonics, Senses &amp; Grammar Interactive App)</t>
        </is>
      </c>
      <c r="C3" s="81" t="inlineStr">
        <is>
          <t># 🎓 Master Educational Prompt: Level 1 Young Learners Final Revision Interactive App
## 🎯 Target Audience &amp; Core Objective
- **Learners:** Young ESL beginners (Level 1 / Kindergarten / Grade 1).
- **Format:** High-engagement, standalone interactive single-page web app / teaching dashboard.
- **Key Pedagogical Pillars:** Demonstratives, Senses + Body Parts (3-Sentence Triad), Indefinite Articles (a vs an), and CVC Word Families (Short a &amp; Short e).
---
## 🛠️ Module Architecture &amp; Functional Specifications
### 1. Visual &amp; Zoom Architecture (UI/UX)
- Every concept must be illustrated with a colorful, friendly, child-appropriate vector graphic or image.
- **Interactive Image Zoom Feature:** Clicking any image opens a high-definition Lightbox modal with interactive Zoom In (+), Zoom Out (-), Reset, and Pan controls for detailed classroom presentation on smartboards.
### 2. Demonstratives &amp; Quantity Warm-Up
- **This is** (Singular: 1 object/organ) vs. **These are** (Plural: 2 objects/organs).
- Integration of `have`: "I have one..." vs. "I have two...".
### 3. Body Parts &amp; 5 Senses Integration (The 3-Sentence Triad)
Each organ must follow this exact 3-sentence cumulative sentence pattern:
1. **Eyes:**
   - Sentence 1: "These are my eyes."
   - Sentence 2: "I have two eyes."
   - Sentence 3: "I can see with my eyes."
2. **Nose:**
   - Sentence 1: "This is my nose."
   - Sentence 2: "I have one nose."
   - Sentence 3: "I can smell with my nose."
3. **Ears:**
   - Sentence 1: "These are my ears."
   - Sentence 2: "I have two ears."
   - Sentence 3: "I can hear with my ears."
4. **Tongue:**
   - Sentence 1: "This is my tongue."
   - Sentence 2: "I have one tongue."
   - Sentence 3: "I can taste with my tongue."
5. **Mouth:**
   - Sentence 1: "This is my mouth."
   - Sentence 2: "I have one mouth."
   - Sentence 3: "I can eat / speak with my mouth."
6. **Hands:**
   - Sentence 1: "These are my hands."
   - Sentence 2: "I have two hands."
   - Sentence 3: "I can touch with my hands."
### 4. Indefinite Articles Module: `a` vs. `an`
- Visual anchor: `a` before consonant sounds; `an` before vowel sounds (a, e, i, o, u).
- **5 Examples for 'a':** a cat, a dog, a car, a book, a hat.
- **5 Examples for 'an':** an apple, an elephant, an insect, an orange, an umbrella.
- Interactive sorting basket game for students to drag or click items into Basket `a` or Basket `an`.
### 5. CVC Phonics Word Families Soundboard (Short a &amp; Short e)
- **Short `a` (/æ/) Word Families (10 Words):**
  - Family `-at` (5 words): cat, bat, hat, mat, rat.
  - Family `-an` (5 words): can, fan, man, pan, van.
- **Short `e` (/ɛ/) Word Families (10 Words):**
  - Family `-en` (5 words): hen, pen, ten, men, den.
  - Family `-et` (5 words): net, pet, wet, jet, vet.
  *(Note: Replaced spoken phonetic slip 'pin/tin' which belong to Short 'i' (/ɪ/) to avoid phonemic confusion for young learners).*
- Interactive blend soundboard: Click individual sounds (/k/ + /æt/ -&gt; cat).
### 6. Audio Pronunciation &amp; Gamification
- Built-in Web Speech API Text-to-Speech: Clicking any word or sentence plays natural, clear English pronunciation.
- Gamified Review Quiz with instant audio feedback (synthesized Web Audio beeps/chimes) and star rewards.</t>
        </is>
      </c>
      <c r="D3" s="82" t="inlineStr">
        <is>
          <t>موجه هندسي بيداغوجي متكامل لإنتاج تطبيق ومراجعة تفاعلية للمستوى الأول لتعليم اللغة الإنجليزية للأطفال (Level 1 ESL). يدمج قواعد الإشارة (This is/These are)، والحواس الخمس عبر نموذج الجمل الثلاث المتراكمة (Demonstrative + Have + Sense Verb)، وأدوات التنكير (a/an)، وعائلات كلمات الـ CVC للـ Short A و Short E مع تصحيح الانزلاقات الصوتية في التسجيل الشفوي للمعلمة، وتوفير خاصية تقريب الصور (Zoom in/out) ونطق صوتي تفاعلي Web Speech API.</t>
        </is>
      </c>
    </row>
    <row r="4" ht="45" customHeight="1" s="55">
      <c r="A4" s="67" t="n">
        <v>3</v>
      </c>
      <c r="B4" s="68" t="inlineStr">
        <is>
          <t>📊 تقرير إنجاز الميزات للعميل الإداري (Executive Client Report)</t>
        </is>
      </c>
      <c r="C4" s="69" t="inlineStr">
        <is>
          <t>قم بإعداد تقرير تنفيذي رسمي بصيغة PDF يوثق الميزات الـ 6 المنجزة حديثاً لتقديمها للعميل الإداري، مع مراعاة الضوابط التالية:
1. صياغة غير تقنية 100%: حظر أي مصطلحات برمجية أو هندسية (API, DB, Docker, Endpoints).
2. هيكل ثلاثي مبسط لكل ميزة: (ما هي الميزة؟ كيف تفيدك وتفيد المركز؟ كيف تستخدمها في خطوتين بسيطتين؟).
3. أرقام إنجليزية (0-9) وهوية بصرية رسمية متناسقة بخط Cairo وبطاقات ملونة واضحة.
4. نشر التقرير برابط HTTPS مباشر ومشفر من الخادم للمعاينة الفورية من الجوال، وحفظ نسخة PDF محلية.</t>
        </is>
      </c>
      <c r="D4" s="70" t="inlineStr">
        <is>
          <t>موجه مهندس لإعداد ونشر تقارير الميزات والمنجزات للعملاء غير التقنيين طبقاً للمعيار [C-99]، يضمن إيصال القيمة الإدارية والمالية وتبسيط طريقة الاستخدام دون تعقيد تقني.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Ibrahim alkateb</dc:creator>
  <dcterms:created xmlns:dcterms="http://purl.org/dc/terms/" xmlns:xsi="http://www.w3.org/2001/XMLSchema-instance" xsi:type="dcterms:W3CDTF">2024-06-14T07:56:07Z</dcterms:created>
  <dcterms:modified xmlns:dcterms="http://purl.org/dc/terms/" xmlns:xsi="http://www.w3.org/2001/XMLSchema-instance" xsi:type="dcterms:W3CDTF">2026-10-18T07:31:20Z</dcterms:modified>
  <cp:lastModifiedBy>Ibrahim alkateb</cp:lastModifiedBy>
</cp:coreProperties>
</file>

<file path=docProps/custom.xml><?xml version="1.0" encoding="utf-8"?>
<Properties xmlns="http://schemas.openxmlformats.org/officeDocument/2006/custom-properties">
  <property name="PlanSwiftJobName" fmtid="{D5CDD505-2E9C-101B-9397-08002B2CF9AE}" pid="2">
    <vt:lpwstr xmlns:vt="http://schemas.openxmlformats.org/officeDocument/2006/docPropsVTypes"/>
  </property>
  <property name="PlanSwiftJobGuid" fmtid="{D5CDD505-2E9C-101B-9397-08002B2CF9AE}" pid="3">
    <vt:lpwstr xmlns:vt="http://schemas.openxmlformats.org/officeDocument/2006/docPropsVTypes"/>
  </property>
  <property name="LinkedDataId" fmtid="{D5CDD505-2E9C-101B-9397-08002B2CF9AE}" pid="4">
    <vt:lpwstr xmlns:vt="http://schemas.openxmlformats.org/officeDocument/2006/docPropsVTypes">{B99E0B5C-62F7-423A-B323-6F72C40E1FDA}</vt:lpwstr>
  </property>
</Properties>
</file>