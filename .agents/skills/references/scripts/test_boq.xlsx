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دول الكمي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raditional Arabic"/>
      <b val="1"/>
      <color rgb="001F497D"/>
      <sz val="16"/>
    </font>
    <font>
      <name val="Traditional Arabic"/>
      <b val="1"/>
      <color rgb="00FFFFFF"/>
      <sz val="12"/>
    </font>
    <font>
      <name val="Traditional Arabic"/>
      <sz val="11"/>
    </font>
    <font>
      <name val="Traditional Arabic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4" fontId="3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right" vertical="center" wrapText="1"/>
    </xf>
    <xf numFmtId="4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rightToLeft="1"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2" customWidth="1" min="3" max="3"/>
    <col width="12" customWidth="1" min="4" max="4"/>
    <col width="21" customWidth="1" min="5" max="5"/>
    <col width="25" customWidth="1" min="6" max="6"/>
    <col width="20" customWidth="1" min="7" max="7"/>
  </cols>
  <sheetData>
    <row r="1" ht="40" customHeight="1">
      <c r="A1" s="1" t="inlineStr">
        <is>
          <t>جدول الكميات والتسعير لمشروع: إعادة تأهيل سور مقبرة الرفيعة</t>
        </is>
      </c>
    </row>
    <row r="2"/>
    <row r="3" ht="28" customHeight="1">
      <c r="A3" s="2" t="inlineStr">
        <is>
          <t>رقم البند</t>
        </is>
      </c>
      <c r="B3" s="2" t="inlineStr">
        <is>
          <t>بيان الأعمال (وصف البند)</t>
        </is>
      </c>
      <c r="C3" s="2" t="inlineStr">
        <is>
          <t>الوحدة</t>
        </is>
      </c>
      <c r="D3" s="2" t="inlineStr">
        <is>
          <t>الكمية</t>
        </is>
      </c>
      <c r="E3" s="2" t="inlineStr">
        <is>
          <t>سعر الوحدة (ريال)</t>
        </is>
      </c>
      <c r="F3" s="2" t="inlineStr">
        <is>
          <t>السعر الإجمالي (ريال)</t>
        </is>
      </c>
      <c r="G3" s="2" t="inlineStr">
        <is>
          <t>الكمية كتابة</t>
        </is>
      </c>
    </row>
    <row r="4" ht="24" customHeight="1">
      <c r="A4" s="3" t="n">
        <v>1</v>
      </c>
      <c r="B4" s="4" t="inlineStr">
        <is>
          <t>أعمال تكسير وإزالة السور القديم وترحيل المخلفات للمرمى العمومي.</t>
        </is>
      </c>
      <c r="C4" s="3" t="inlineStr">
        <is>
          <t>م.ط</t>
        </is>
      </c>
      <c r="D4" s="5" t="n">
        <v>500</v>
      </c>
      <c r="E4" s="5" t="n">
        <v>45</v>
      </c>
      <c r="F4" s="5">
        <f>D4*E4</f>
        <v/>
      </c>
      <c r="G4" s="3" t="inlineStr">
        <is>
          <t>خمسمائة</t>
        </is>
      </c>
    </row>
    <row r="5" ht="24" customHeight="1">
      <c r="A5" s="6" t="n">
        <v>2</v>
      </c>
      <c r="B5" s="7" t="inlineStr">
        <is>
          <t>أعمال حفر لزوم القواعد والأساسات في تربة صخرية أو عادية لعمق 1.5م.</t>
        </is>
      </c>
      <c r="C5" s="6" t="inlineStr">
        <is>
          <t>م3</t>
        </is>
      </c>
      <c r="D5" s="8" t="n">
        <v>588</v>
      </c>
      <c r="E5" s="8" t="n">
        <v>20</v>
      </c>
      <c r="F5" s="8">
        <f>D5*E5</f>
        <v/>
      </c>
      <c r="G5" s="6" t="inlineStr">
        <is>
          <t>خمسمائة وثمان وثمانون</t>
        </is>
      </c>
    </row>
    <row r="6" ht="24" customHeight="1">
      <c r="A6" s="3" t="n">
        <v>3</v>
      </c>
      <c r="B6" s="4" t="inlineStr">
        <is>
          <t>توريد وصب خرسانة عادية أسفل الأساسات إجهاد 250 كجم/سم2.</t>
        </is>
      </c>
      <c r="C6" s="3" t="inlineStr">
        <is>
          <t>م3</t>
        </is>
      </c>
      <c r="D6" s="5" t="n">
        <v>24</v>
      </c>
      <c r="E6" s="5" t="n">
        <v>280</v>
      </c>
      <c r="F6" s="5">
        <f>D6*E6</f>
        <v/>
      </c>
      <c r="G6" s="3" t="inlineStr">
        <is>
          <t>أربعة وعشرون</t>
        </is>
      </c>
    </row>
    <row r="7" ht="24" customHeight="1">
      <c r="A7" s="6" t="n">
        <v>4</v>
      </c>
      <c r="B7" s="7" t="inlineStr">
        <is>
          <t>توريد وصب خرسانة مسلحة مقاومة للكبريتات إجهاد 350 كجم/سم2 لزوم الأساسات والميد ورقاب الأعمدة والطبان.</t>
        </is>
      </c>
      <c r="C7" s="6" t="inlineStr">
        <is>
          <t>م3</t>
        </is>
      </c>
      <c r="D7" s="8" t="n">
        <v>60</v>
      </c>
      <c r="E7" s="8" t="n">
        <v>420</v>
      </c>
      <c r="F7" s="8">
        <f>D7*E7</f>
        <v/>
      </c>
      <c r="G7" s="6" t="inlineStr">
        <is>
          <t>ستون</t>
        </is>
      </c>
    </row>
    <row r="8" ht="24" customHeight="1">
      <c r="A8" s="9" t="n"/>
      <c r="B8" s="10" t="inlineStr">
        <is>
          <t>المجموع الإجمالي الخاضع للضريبة</t>
        </is>
      </c>
      <c r="C8" s="9" t="n"/>
      <c r="D8" s="9" t="n"/>
      <c r="E8" s="9" t="n"/>
      <c r="F8" s="11">
        <f>SUM(F4:F7)</f>
        <v/>
      </c>
      <c r="G8" s="9" t="n"/>
    </row>
    <row r="9" ht="24" customHeight="1">
      <c r="A9" s="9" t="n"/>
      <c r="B9" s="10" t="inlineStr">
        <is>
          <t>ضريبة القيمة المضافة (15%)</t>
        </is>
      </c>
      <c r="C9" s="9" t="n"/>
      <c r="D9" s="9" t="n"/>
      <c r="E9" s="9" t="n"/>
      <c r="F9" s="11">
        <f>F8*0.15</f>
        <v/>
      </c>
      <c r="G9" s="9" t="n"/>
    </row>
    <row r="10" ht="24" customHeight="1">
      <c r="A10" s="9" t="n"/>
      <c r="B10" s="10" t="inlineStr">
        <is>
          <t>الإجمالي النهائي شامل ضريبة القيمة المضافة</t>
        </is>
      </c>
      <c r="C10" s="9" t="n"/>
      <c r="D10" s="9" t="n"/>
      <c r="E10" s="9" t="n"/>
      <c r="F10" s="11">
        <f>F8+F9</f>
        <v/>
      </c>
      <c r="G10" s="9" t="n"/>
    </row>
  </sheetData>
  <mergeCells count="4">
    <mergeCell ref="B8:E8"/>
    <mergeCell ref="B9:E9"/>
    <mergeCell ref="A1:G1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2026-07-14T12:40:16Z</dcterms:created>
  <dcterms:modified xmlns:dcterms="http://purl.org/dc/terms/" xmlns:xsi="http://www.w3.org/2001/XMLSchema-instance" xsi:type="dcterms:W3CDTF">2026-07-14T12:40:16Z</dcterms:modified>
</cp:coreProperties>
</file>